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vn5b1ef\Documents\puppy_workspace\DUOC\"/>
    </mc:Choice>
  </mc:AlternateContent>
  <xr:revisionPtr revIDLastSave="0" documentId="13_ncr:1_{7AE5C9AD-7315-492B-97ED-948FEED2C5E6}" xr6:coauthVersionLast="47" xr6:coauthVersionMax="47" xr10:uidLastSave="{00000000-0000-0000-0000-000000000000}"/>
  <bookViews>
    <workbookView xWindow="-110" yWindow="-110" windowWidth="19420" windowHeight="11500" xr2:uid="{00000000-000D-0000-FFFF-FFFF00000000}"/>
  </bookViews>
  <sheets>
    <sheet name="Lecciones Aprendidas" sheetId="1" r:id="rId1"/>
    <sheet name="Instructivo" sheetId="2" r:id="rId2"/>
    <sheet name="Ejemplo"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2" l="1"/>
  <c r="A14" i="2"/>
  <c r="A13" i="2"/>
  <c r="A12" i="2"/>
  <c r="A11" i="2"/>
  <c r="A10" i="2"/>
  <c r="A9" i="2"/>
  <c r="A8" i="2"/>
  <c r="A7" i="2"/>
  <c r="A6" i="2"/>
  <c r="A5" i="2"/>
</calcChain>
</file>

<file path=xl/sharedStrings.xml><?xml version="1.0" encoding="utf-8"?>
<sst xmlns="http://schemas.openxmlformats.org/spreadsheetml/2006/main" count="95" uniqueCount="70">
  <si>
    <t>Registro de lecciones aprendidas</t>
  </si>
  <si>
    <t>Elaborado por: www.pmoinformatica.com</t>
  </si>
  <si>
    <t>Nro. De Referencia</t>
  </si>
  <si>
    <t>Código de Proyecto</t>
  </si>
  <si>
    <t>Nombre del Proyecto</t>
  </si>
  <si>
    <t>Área / Categoría</t>
  </si>
  <si>
    <t>Fecha</t>
  </si>
  <si>
    <t>Amenaza / Oportunidad</t>
  </si>
  <si>
    <t>Título</t>
  </si>
  <si>
    <t>Descripción de la Situación</t>
  </si>
  <si>
    <t>Descripción del Impacto en los objetivos del proyecto</t>
  </si>
  <si>
    <t>Acciones Correctivas y Preventivas Implementadas</t>
  </si>
  <si>
    <t>Lección Aprendida / Recomendaciones</t>
  </si>
  <si>
    <t>DUOC-004D-HAZZI</t>
  </si>
  <si>
    <t>Agente Hazzi</t>
  </si>
  <si>
    <t>Calidad de Datos / Tecnica</t>
  </si>
  <si>
    <t>Amenaza</t>
  </si>
  <si>
    <t>Sucursal duplicada en el mapa por datos de origen inconsistentes</t>
  </si>
  <si>
    <t>La tienda "Central Mayorista" de Cerrillos aparecia dos veces en el mapa y en el panel administrativo. La causa raiz fue que el propio buscador de tiendas de Lider devolvia dos filas identicas (mismo formato y direccion) pero con distinto texto de region ("Metropolitana" vs "Metropolitana de Santiago"), y el parser no deduplicaba antes de geocodificar.</t>
  </si>
  <si>
    <t>Informacion duplicada mostrada al usuario final (analista de seguridad), lo que podia generar confusion sobre la cantidad real de instalaciones en riesgo.</t>
  </si>
  <si>
    <t>Se agrego deduplicacion por clave (formato + direccion normalizados en minusculas) en parse_stores(), se borro el cache data/stores_geo.json para forzar la regeneracion, y se agregaron 2 pruebas automatizadas de regresion (test_parse_stores_lee_una_fila_normal y test_parse_stores_deduplica_la_misma_tienda_repetida).</t>
  </si>
  <si>
    <t>Nunca confiar ciegamente en que una fuente externa entrega datos unicos: siempre deduplicar por una clave de negocio estable (no por el texto completo de la fila) antes de persistir o cachear resultados derivados.</t>
  </si>
  <si>
    <t>Tecnica / Integracion de fuentes</t>
  </si>
  <si>
    <t>Fuente oficial sin API estructurada (CSN)</t>
  </si>
  <si>
    <t>El Centro Sismologico Nacional no ofrece una API publica estructurada; su catalogo diario solo esta disponible via la pagina web, lo que obligo a implementar un conector basado en web scraping, mas fragil que una integracion por API/JSON.</t>
  </si>
  <si>
    <t>Riesgo permanente de que un cambio de formato en la pagina del CSN rompa la ingesta de sismos sin aviso previo.</t>
  </si>
  <si>
    <t>Se aislo el parsing del CSN en un modulo propio (app/sources/csn.py) con pruebas unitarias dedicadas, y se prioriza la deduplicacion con USGS para que, si el CSN falla, el sistema no se quede sin datos de sismos.</t>
  </si>
  <si>
    <t>Para fuentes sin API estable, aislar el parsing en un modulo independiente y cubrirlo con pruebas especificas reduce el costo de reaccionar cuando (no si) la fuente cambie de formato.</t>
  </si>
  <si>
    <t>Gestion / Comunicacion</t>
  </si>
  <si>
    <t>Oportunidad</t>
  </si>
  <si>
    <t>Cambio de nombre del proyecto durante el desarrollo (Agente Hazard -&gt; Agente Hazzi)</t>
  </si>
  <si>
    <t>El proyecto fue registrado formalmente en la Fase 1 como "Agente Hazard". Durante la Fase 2, el equipo definio "Agente Hazzi" como nombre e identidad de marca definitiva del producto (logo, mascota y textos de interfaz), generando una inconsistencia entre la documentacion academica inicial y el producto real.</t>
  </si>
  <si>
    <t>Riesgo de confusion para el docente/mandante al revisar documentacion con dos nombres distintos para el mismo proyecto si no se deja trazabilidad explicita del cambio.</t>
  </si>
  <si>
    <t>Se documento el cambio de nombre en el historial de versiones del Informe Final Capstone (version 2.0.0) y se actualizaron de forma consistente los entregables de gestion de proyecto (RACI, EDT, planes de comunicaciones/calidad/recursos, actas) para usar "Agente Hazzi" como nombre oficial.</t>
  </si>
  <si>
    <t>Cuando el nombre o alcance de un proyecto cambia a mitad de camino, registrar el cambio explicitamente en el control de versiones del documento maestro evita ambiguedad y facilita la trazabilidad para quien evalua el proyecto.</t>
  </si>
  <si>
    <t>Gestion de Proyecto</t>
  </si>
  <si>
    <t>Planificacion por epicas y releases incrementales</t>
  </si>
  <si>
    <t>El equipo organizo el desarrollo en 6 epicas agrupadas en 3 releases incrementales (MVP, Dashboard y vistas, Experiencia de usuario) en lugar de intentar construir todo el sistema de una sola vez.</t>
  </si>
  <si>
    <t>Permitio validar con el mandante un flujo minimo funcional (ingesta-correlacion-mapa) desde etapas tempranas del proyecto, en vez de esperar al final para mostrar resultados.</t>
  </si>
  <si>
    <t>Se mantuvo la practica de cerrar cada release con una demo y validacion formal antes de iniciar el siguiente.</t>
  </si>
  <si>
    <t>En equipos pequenos (2 personas), dividir el alcance en releases con valor demostrable de forma independiente reduce el riesgo de llegar al cierre del proyecto sin nada funcional que mostrar.</t>
  </si>
  <si>
    <t>Tecnica / Dependencias externas</t>
  </si>
  <si>
    <t>Limite de frecuencia del servicio de geocodificacion externo</t>
  </si>
  <si>
    <t>El servicio de geocodificacion publico utilizado para ubicar sucursales y lugares mencionados en alertas de SENAPRED impone un limite de frecuencia de uso (rate limit), lo que podia provocar bloqueos si se consultaba la misma direccion repetidamente.</t>
  </si>
  <si>
    <t>Riesgo de quedar bloqueado del servicio de geocodificacion, afectando la actualizacion de nuevas instalaciones o lugares.</t>
  </si>
  <si>
    <t>Se implemento un mecanismo de cache (data/comunas_geo.json y data/direcciones_geo.json) que reutiliza resultados ya calculados, consultando el servicio externo solo para direcciones nuevas.</t>
  </si>
  <si>
    <t>Al integrar servicios externos gratuitos con limite de uso, cachear agresivamente los resultados ya obtenidos es mas barato y mas seguro que reintentar o manejar bloqueos reactivamente.</t>
  </si>
  <si>
    <t>Registro de lecciones aprendidas: Instructivo</t>
  </si>
  <si>
    <t>Columna</t>
  </si>
  <si>
    <t>Instrucciones</t>
  </si>
  <si>
    <t>Numeración de la lección aprendida según formato acordado, identifica unívocamente a una lección aprendida.</t>
  </si>
  <si>
    <t>El código de proyecto en el que se identificó la lección aprendida.</t>
  </si>
  <si>
    <t>Nombre descriptivo del proyecto en el que se identificó la lección aprendida.</t>
  </si>
  <si>
    <t>Categorías en las que se clasificaran las lecciones aprendidas, por ejemplo, en un proyecto de Desarrollo de Software estás pueden ser Técnicas, Funcionales, Comunicación, Gestión de los implicados, entre otros; o por ejemplo podrían usarse las áreas de conocimiento de la Gestión de Proyecto, por ejemplo alcance, tiempo, calidad, comunicaciones, entre otros.</t>
  </si>
  <si>
    <t>Día, mes y año en que se presentó la situación descrita.</t>
  </si>
  <si>
    <t>Se indica si la lección aprendida está relacionado con un efecto adverso (amenaza) que debe evitarse en el futuro o está asociado con un efecto positivo en el proyecto (oportunidad) sobre el cual deben tomarse acciones para mantenerlo.</t>
  </si>
  <si>
    <t>Alusivo a la situación presentada.</t>
  </si>
  <si>
    <t>Describe los antecedentes y circunstancias que ocasionaron el asunto sujeto de la lección aprendida, siendo importante el identificar las causas raíz que ocasionaron la situación.</t>
  </si>
  <si>
    <t>Efecto que la situación planteada tuvo sobre los objetivos del proyecto, por ejemplo: Retraso en la fecha de entrega del proyecto (expresado en unidad de tiempo), incremento de los costos (expresado en unidad de esfuerzo), reducción de niveles de calidad, insatisfacción del cliente, entre otros. También puede reflejar impactos positivos, por ejemplo, se término la actividad antes de la fecha planificada, se ejecutó una actividad a una fracción del costo, entre otros. Es importante expresar el impacto en términos que se puedan medir.</t>
  </si>
  <si>
    <t>Enumerar las acciones correctivas implementadas para reducir o mejorar los efectos de la situación (dependiendo si son amenazas u oportunidades) y acciones preventivas para reducir o incrementar la probabilidad que se vuelvan a presentar en el futuro.</t>
  </si>
  <si>
    <t>Resume las acciones y estrategias a adoptar en el futuro para evitar que se presente nuevamente la amenaza o para aprovechar la oportunidad (si es una lección de impacto positivo). Se construye a partir de las experiencias de las acciones tomadas para corregir la situación.</t>
  </si>
  <si>
    <t>Registro de lecciones aprendidas: Ejemplo</t>
  </si>
  <si>
    <t>XXXX-XXXX-XX</t>
  </si>
  <si>
    <t>Desarrollo de Sistema para Gestión de Lecciones aprendidas</t>
  </si>
  <si>
    <t>Gestión de Requerimientos</t>
  </si>
  <si>
    <t>Documento de Diseño con insuficiente detalle.</t>
  </si>
  <si>
    <t xml:space="preserve">Ciertos escenarios no fueron descritos en detalle en los documentos funcionales, en su lugar, en algunos casos se hizo referencia al comportamiento de un sistema anterior. 
Está situación ocasionó interpretaciones inadecuadas del alcance por parte del equipo de desarrollo, por lo que ciertos componentes no fueron aceptados por el usuario final. </t>
  </si>
  <si>
    <t>Se retrasó la fecha de entrega y se incurrieron en costos adicionales por retrabajo.</t>
  </si>
  <si>
    <t>Como acción correctiva, se realizaron reuniones con los usuarios para describir el comportamiento esperado y se actualizó el documento de diseño funcional. Luego se realizaron desarrollos de la funcionalidad esperada.
Como acción preventiva, se revisaron el resto de los documentos de diseño funcional para buscar identificar situaciones similares y tomar los correctivos antes de comenzar a desarrollar esos componentes.</t>
  </si>
  <si>
    <t xml:space="preserve">Implementar un control de aprobación de los documentos funcionales.
Incluir en el checklist de aprobación que el documento describa en detalle los procesos de negocio y comportamiento esperados.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</si>
</sst>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1" xfId="0" applyFill="1" applyBorder="1"/>
    <xf numFmtId="0" fontId="1" fillId="3" borderId="1" xfId="0" applyFont="1" applyFill="1" applyBorder="1"/>
    <xf numFmtId="0" fontId="0" fillId="2" borderId="0" xfId="0" applyFill="1"/>
    <xf numFmtId="0" fontId="2" fillId="2" borderId="0" xfId="0" applyFont="1" applyFill="1"/>
    <xf numFmtId="0" fontId="3" fillId="2" borderId="0" xfId="0" applyFont="1" applyFill="1"/>
    <xf numFmtId="0" fontId="0" fillId="2" borderId="1" xfId="0" applyFill="1" applyBorder="1" applyAlignment="1">
      <alignment horizontal="left" vertical="top"/>
    </xf>
    <xf numFmtId="0" fontId="0" fillId="2" borderId="1" xfId="0" applyFill="1" applyBorder="1" applyAlignment="1">
      <alignment horizontal="left" vertical="top" wrapText="1"/>
    </xf>
    <xf numFmtId="0" fontId="1" fillId="3" borderId="1" xfId="0" applyFont="1" applyFill="1" applyBorder="1" applyAlignment="1">
      <alignment horizontal="center" vertical="center" wrapText="1"/>
    </xf>
    <xf numFmtId="14" fontId="0" fillId="2" borderId="1" xfId="0" applyNumberFormat="1" applyFill="1" applyBorder="1" applyAlignment="1">
      <alignment horizontal="left" vertical="top" wrapText="1"/>
    </xf>
    <xf numFmtId="0" fontId="0" fillId="2" borderId="1" xfId="0" applyFill="1" applyBorder="1" applyAlignment="1">
      <alignment vertical="top"/>
    </xf>
    <xf numFmtId="14" fontId="0" fillId="2" borderId="1" xfId="0" applyNumberForma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tabSelected="1" topLeftCell="A4" workbookViewId="0">
      <selection activeCell="F5" sqref="F5"/>
    </sheetView>
  </sheetViews>
  <sheetFormatPr baseColWidth="10" defaultColWidth="11.453125" defaultRowHeight="14.5" x14ac:dyDescent="0.35"/>
  <cols>
    <col min="1" max="1" width="18" style="3" customWidth="1"/>
    <col min="2" max="2" width="18.36328125" style="3" bestFit="1" customWidth="1"/>
    <col min="3" max="3" width="20" style="3" bestFit="1" customWidth="1"/>
    <col min="4" max="4" width="28.81640625" style="3" customWidth="1"/>
    <col min="5" max="5" width="14.54296875" style="3" customWidth="1"/>
    <col min="6" max="6" width="22.453125" style="3" bestFit="1" customWidth="1"/>
    <col min="7" max="7" width="58.08984375" style="3" customWidth="1"/>
    <col min="8" max="8" width="99.7265625" style="3" customWidth="1"/>
    <col min="9" max="9" width="34.1796875" style="3" customWidth="1"/>
    <col min="10" max="10" width="36.54296875" style="3" customWidth="1"/>
    <col min="11" max="11" width="35.6328125" style="3" bestFit="1" customWidth="1"/>
    <col min="12" max="12" width="11.453125" style="3" customWidth="1"/>
    <col min="13" max="16384" width="11.453125" style="3"/>
  </cols>
  <sheetData>
    <row r="1" spans="1:11" ht="36.65" customHeight="1" x14ac:dyDescent="0.8">
      <c r="A1" s="4" t="s">
        <v>0</v>
      </c>
    </row>
    <row r="2" spans="1:11" ht="21" customHeight="1" x14ac:dyDescent="0.5">
      <c r="A2" s="5"/>
    </row>
    <row r="4" spans="1:11" ht="28.75" customHeight="1" x14ac:dyDescent="0.35">
      <c r="A4" s="8" t="s">
        <v>2</v>
      </c>
      <c r="B4" s="8" t="s">
        <v>3</v>
      </c>
      <c r="C4" s="8" t="s">
        <v>4</v>
      </c>
      <c r="D4" s="8" t="s">
        <v>5</v>
      </c>
      <c r="E4" s="8" t="s">
        <v>6</v>
      </c>
      <c r="F4" s="8" t="s">
        <v>7</v>
      </c>
      <c r="G4" s="8" t="s">
        <v>8</v>
      </c>
      <c r="H4" s="8" t="s">
        <v>9</v>
      </c>
      <c r="I4" s="8" t="s">
        <v>10</v>
      </c>
      <c r="J4" s="8" t="s">
        <v>11</v>
      </c>
      <c r="K4" s="8" t="s">
        <v>12</v>
      </c>
    </row>
    <row r="5" spans="1:11" ht="130.5" x14ac:dyDescent="0.35">
      <c r="A5" s="10">
        <v>1</v>
      </c>
      <c r="B5" s="10" t="s">
        <v>13</v>
      </c>
      <c r="C5" s="10" t="s">
        <v>14</v>
      </c>
      <c r="D5" s="10" t="s">
        <v>15</v>
      </c>
      <c r="E5" s="11">
        <v>46294</v>
      </c>
      <c r="F5" s="10" t="s">
        <v>16</v>
      </c>
      <c r="G5" s="7" t="s">
        <v>17</v>
      </c>
      <c r="H5" s="7" t="s">
        <v>18</v>
      </c>
      <c r="I5" s="7" t="s">
        <v>19</v>
      </c>
      <c r="J5" s="7" t="s">
        <v>20</v>
      </c>
      <c r="K5" s="7" t="s">
        <v>21</v>
      </c>
    </row>
    <row r="6" spans="1:11" ht="87" x14ac:dyDescent="0.35">
      <c r="A6" s="10">
        <v>2</v>
      </c>
      <c r="B6" s="10" t="s">
        <v>13</v>
      </c>
      <c r="C6" s="10" t="s">
        <v>14</v>
      </c>
      <c r="D6" s="10" t="s">
        <v>22</v>
      </c>
      <c r="E6" s="11">
        <v>46275</v>
      </c>
      <c r="F6" s="10" t="s">
        <v>16</v>
      </c>
      <c r="G6" s="7" t="s">
        <v>23</v>
      </c>
      <c r="H6" s="7" t="s">
        <v>24</v>
      </c>
      <c r="I6" s="7" t="s">
        <v>25</v>
      </c>
      <c r="J6" s="7" t="s">
        <v>26</v>
      </c>
      <c r="K6" s="7" t="s">
        <v>27</v>
      </c>
    </row>
    <row r="7" spans="1:11" ht="116" x14ac:dyDescent="0.35">
      <c r="A7" s="10">
        <v>3</v>
      </c>
      <c r="B7" s="10" t="s">
        <v>13</v>
      </c>
      <c r="C7" s="10" t="s">
        <v>14</v>
      </c>
      <c r="D7" s="10" t="s">
        <v>28</v>
      </c>
      <c r="E7" s="11">
        <v>46266</v>
      </c>
      <c r="F7" s="10" t="s">
        <v>29</v>
      </c>
      <c r="G7" s="7" t="s">
        <v>30</v>
      </c>
      <c r="H7" s="7" t="s">
        <v>31</v>
      </c>
      <c r="I7" s="7" t="s">
        <v>32</v>
      </c>
      <c r="J7" s="7" t="s">
        <v>33</v>
      </c>
      <c r="K7" s="7" t="s">
        <v>34</v>
      </c>
    </row>
    <row r="8" spans="1:11" ht="87" x14ac:dyDescent="0.35">
      <c r="A8" s="10">
        <v>4</v>
      </c>
      <c r="B8" s="10" t="s">
        <v>13</v>
      </c>
      <c r="C8" s="10" t="s">
        <v>14</v>
      </c>
      <c r="D8" s="10" t="s">
        <v>35</v>
      </c>
      <c r="E8" s="11">
        <v>46296</v>
      </c>
      <c r="F8" s="10" t="s">
        <v>29</v>
      </c>
      <c r="G8" s="7" t="s">
        <v>36</v>
      </c>
      <c r="H8" s="7" t="s">
        <v>37</v>
      </c>
      <c r="I8" s="7" t="s">
        <v>38</v>
      </c>
      <c r="J8" s="7" t="s">
        <v>39</v>
      </c>
      <c r="K8" s="7" t="s">
        <v>40</v>
      </c>
    </row>
    <row r="9" spans="1:11" ht="87" x14ac:dyDescent="0.35">
      <c r="A9" s="10">
        <v>5</v>
      </c>
      <c r="B9" s="10" t="s">
        <v>13</v>
      </c>
      <c r="C9" s="10" t="s">
        <v>14</v>
      </c>
      <c r="D9" s="10" t="s">
        <v>41</v>
      </c>
      <c r="E9" s="11">
        <v>46280</v>
      </c>
      <c r="F9" s="10" t="s">
        <v>16</v>
      </c>
      <c r="G9" s="7" t="s">
        <v>42</v>
      </c>
      <c r="H9" s="7" t="s">
        <v>43</v>
      </c>
      <c r="I9" s="7" t="s">
        <v>44</v>
      </c>
      <c r="J9" s="7" t="s">
        <v>45</v>
      </c>
      <c r="K9" s="7" t="s">
        <v>46</v>
      </c>
    </row>
    <row r="10" spans="1:11" x14ac:dyDescent="0.35">
      <c r="A10" s="1"/>
      <c r="B10" s="1"/>
      <c r="C10" s="1"/>
      <c r="D10" s="1"/>
      <c r="E10" s="1"/>
      <c r="F10" s="1"/>
      <c r="G10" s="1"/>
      <c r="H10" s="1"/>
      <c r="I10" s="1"/>
      <c r="J10" s="1"/>
      <c r="K10" s="1"/>
    </row>
    <row r="11" spans="1:11" x14ac:dyDescent="0.35">
      <c r="A11" s="1"/>
      <c r="B11" s="1"/>
      <c r="C11" s="1"/>
      <c r="D11" s="1"/>
      <c r="E11" s="1"/>
      <c r="F11" s="1"/>
      <c r="G11" s="1"/>
      <c r="H11" s="1"/>
      <c r="I11" s="1"/>
      <c r="J11" s="1"/>
      <c r="K11" s="1"/>
    </row>
    <row r="12" spans="1:11" x14ac:dyDescent="0.35">
      <c r="A12" s="1"/>
      <c r="B12" s="1"/>
      <c r="C12" s="1"/>
      <c r="D12" s="1"/>
      <c r="E12" s="1"/>
      <c r="F12" s="1"/>
      <c r="G12" s="1"/>
      <c r="H12" s="1"/>
      <c r="I12" s="1"/>
      <c r="J12" s="1"/>
      <c r="K12" s="1"/>
    </row>
    <row r="13" spans="1:11" x14ac:dyDescent="0.35">
      <c r="A13" s="1"/>
      <c r="B13" s="1"/>
      <c r="C13" s="1"/>
      <c r="D13" s="1"/>
      <c r="E13" s="1"/>
      <c r="F13" s="1"/>
      <c r="G13" s="1"/>
      <c r="H13" s="1"/>
      <c r="I13" s="1"/>
      <c r="J13" s="1"/>
      <c r="K13" s="1"/>
    </row>
    <row r="14" spans="1:11" x14ac:dyDescent="0.35">
      <c r="A14" s="1"/>
      <c r="B14" s="1"/>
      <c r="C14" s="1"/>
      <c r="D14" s="1"/>
      <c r="E14" s="1"/>
      <c r="F14" s="1"/>
      <c r="G14" s="1"/>
      <c r="H14" s="1"/>
      <c r="I14" s="1"/>
      <c r="J14" s="1"/>
      <c r="K14" s="1"/>
    </row>
    <row r="15" spans="1:11" x14ac:dyDescent="0.35">
      <c r="A15" s="1"/>
      <c r="B15" s="1"/>
      <c r="C15" s="1"/>
      <c r="D15" s="1"/>
      <c r="E15" s="1"/>
      <c r="F15" s="1"/>
      <c r="G15" s="1"/>
      <c r="H15" s="1"/>
      <c r="I15" s="1"/>
      <c r="J15" s="1"/>
      <c r="K15" s="1"/>
    </row>
    <row r="16" spans="1:11" x14ac:dyDescent="0.35">
      <c r="A16" s="1"/>
      <c r="B16" s="1"/>
      <c r="C16" s="1"/>
      <c r="D16" s="1"/>
      <c r="E16" s="1"/>
      <c r="F16" s="1"/>
      <c r="G16" s="1"/>
      <c r="H16" s="1"/>
      <c r="I16" s="1"/>
      <c r="J16" s="1"/>
      <c r="K16" s="1"/>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election activeCell="A2" sqref="A2"/>
    </sheetView>
  </sheetViews>
  <sheetFormatPr baseColWidth="10" defaultColWidth="11.453125" defaultRowHeight="14.5" x14ac:dyDescent="0.35"/>
  <cols>
    <col min="1" max="1" width="27.6328125" style="3" customWidth="1"/>
    <col min="2" max="2" width="67.453125" style="3" customWidth="1"/>
    <col min="3" max="3" width="11.453125" style="3" customWidth="1"/>
    <col min="4" max="16384" width="11.453125" style="3"/>
  </cols>
  <sheetData>
    <row r="1" spans="1:2" ht="36.65" customHeight="1" x14ac:dyDescent="0.8">
      <c r="A1" s="4" t="s">
        <v>47</v>
      </c>
    </row>
    <row r="2" spans="1:2" ht="21" customHeight="1" x14ac:dyDescent="0.5">
      <c r="A2" s="5" t="s">
        <v>1</v>
      </c>
    </row>
    <row r="4" spans="1:2" x14ac:dyDescent="0.35">
      <c r="A4" s="2" t="s">
        <v>48</v>
      </c>
      <c r="B4" s="2" t="s">
        <v>49</v>
      </c>
    </row>
    <row r="5" spans="1:2" ht="28.75" customHeight="1" x14ac:dyDescent="0.35">
      <c r="A5" s="6" t="str">
        <f>'Lecciones Aprendidas'!A4</f>
        <v>Nro. De Referencia</v>
      </c>
      <c r="B5" s="7" t="s">
        <v>50</v>
      </c>
    </row>
    <row r="6" spans="1:2" x14ac:dyDescent="0.35">
      <c r="A6" s="6" t="str">
        <f>'Lecciones Aprendidas'!B4</f>
        <v>Código de Proyecto</v>
      </c>
      <c r="B6" s="7" t="s">
        <v>51</v>
      </c>
    </row>
    <row r="7" spans="1:2" x14ac:dyDescent="0.35">
      <c r="A7" s="6" t="str">
        <f>'Lecciones Aprendidas'!C4</f>
        <v>Nombre del Proyecto</v>
      </c>
      <c r="B7" s="7" t="s">
        <v>52</v>
      </c>
    </row>
    <row r="8" spans="1:2" ht="72" customHeight="1" x14ac:dyDescent="0.35">
      <c r="A8" s="6" t="str">
        <f>'Lecciones Aprendidas'!D4</f>
        <v>Área / Categoría</v>
      </c>
      <c r="B8" s="7" t="s">
        <v>53</v>
      </c>
    </row>
    <row r="9" spans="1:2" x14ac:dyDescent="0.35">
      <c r="A9" s="6" t="str">
        <f>'Lecciones Aprendidas'!E4</f>
        <v>Fecha</v>
      </c>
      <c r="B9" s="7" t="s">
        <v>54</v>
      </c>
    </row>
    <row r="10" spans="1:2" ht="57.65" customHeight="1" x14ac:dyDescent="0.35">
      <c r="A10" s="6" t="str">
        <f>'Lecciones Aprendidas'!F4</f>
        <v>Amenaza / Oportunidad</v>
      </c>
      <c r="B10" s="7" t="s">
        <v>55</v>
      </c>
    </row>
    <row r="11" spans="1:2" x14ac:dyDescent="0.35">
      <c r="A11" s="6" t="str">
        <f>'Lecciones Aprendidas'!G4</f>
        <v>Título</v>
      </c>
      <c r="B11" s="7" t="s">
        <v>56</v>
      </c>
    </row>
    <row r="12" spans="1:2" ht="43.25" customHeight="1" x14ac:dyDescent="0.35">
      <c r="A12" s="6" t="str">
        <f>'Lecciones Aprendidas'!H4</f>
        <v>Descripción de la Situación</v>
      </c>
      <c r="B12" s="7" t="s">
        <v>57</v>
      </c>
    </row>
    <row r="13" spans="1:2" ht="100.75" customHeight="1" x14ac:dyDescent="0.35">
      <c r="A13" s="6" t="str">
        <f>'Lecciones Aprendidas'!I4</f>
        <v>Descripción del Impacto en los objetivos del proyecto</v>
      </c>
      <c r="B13" s="7" t="s">
        <v>58</v>
      </c>
    </row>
    <row r="14" spans="1:2" ht="57.65" customHeight="1" x14ac:dyDescent="0.35">
      <c r="A14" s="6" t="str">
        <f>'Lecciones Aprendidas'!J4</f>
        <v>Acciones Correctivas y Preventivas Implementadas</v>
      </c>
      <c r="B14" s="7" t="s">
        <v>59</v>
      </c>
    </row>
    <row r="15" spans="1:2" ht="57.65" customHeight="1" x14ac:dyDescent="0.35">
      <c r="A15" s="6" t="str">
        <f>'Lecciones Aprendidas'!K4</f>
        <v>Lección Aprendida / Recomendaciones</v>
      </c>
      <c r="B15" s="7"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
  <sheetViews>
    <sheetView workbookViewId="0">
      <selection activeCell="A2" sqref="A2"/>
    </sheetView>
  </sheetViews>
  <sheetFormatPr baseColWidth="10" defaultColWidth="11.453125" defaultRowHeight="14.5" x14ac:dyDescent="0.35"/>
  <cols>
    <col min="1" max="1" width="14.90625" style="3" customWidth="1"/>
    <col min="2" max="2" width="13.90625" style="3" bestFit="1" customWidth="1"/>
    <col min="3" max="3" width="20" style="3" bestFit="1" customWidth="1"/>
    <col min="4" max="4" width="15.36328125" style="3" bestFit="1" customWidth="1"/>
    <col min="5" max="5" width="12.54296875" style="3" customWidth="1"/>
    <col min="6" max="6" width="12.36328125" style="3" bestFit="1" customWidth="1"/>
    <col min="7" max="7" width="24.453125" style="3" bestFit="1" customWidth="1"/>
    <col min="8" max="8" width="37.54296875" style="3" customWidth="1"/>
    <col min="9" max="9" width="26" style="3" customWidth="1"/>
    <col min="10" max="10" width="36.54296875" style="3" customWidth="1"/>
    <col min="11" max="11" width="33.453125" style="3" customWidth="1"/>
    <col min="12" max="12" width="11.453125" style="3" customWidth="1"/>
    <col min="13" max="16384" width="11.453125" style="3"/>
  </cols>
  <sheetData>
    <row r="1" spans="1:11" ht="36.65" customHeight="1" x14ac:dyDescent="0.8">
      <c r="A1" s="4" t="s">
        <v>61</v>
      </c>
    </row>
    <row r="2" spans="1:11" ht="21" customHeight="1" x14ac:dyDescent="0.5">
      <c r="A2" s="5" t="s">
        <v>1</v>
      </c>
    </row>
    <row r="4" spans="1:11" ht="28.75" customHeight="1" x14ac:dyDescent="0.35">
      <c r="A4" s="8" t="s">
        <v>2</v>
      </c>
      <c r="B4" s="8" t="s">
        <v>3</v>
      </c>
      <c r="C4" s="8" t="s">
        <v>4</v>
      </c>
      <c r="D4" s="8" t="s">
        <v>5</v>
      </c>
      <c r="E4" s="8" t="s">
        <v>6</v>
      </c>
      <c r="F4" s="8" t="s">
        <v>7</v>
      </c>
      <c r="G4" s="8" t="s">
        <v>8</v>
      </c>
      <c r="H4" s="8" t="s">
        <v>9</v>
      </c>
      <c r="I4" s="8" t="s">
        <v>10</v>
      </c>
      <c r="J4" s="8" t="s">
        <v>11</v>
      </c>
      <c r="K4" s="8" t="s">
        <v>12</v>
      </c>
    </row>
    <row r="5" spans="1:11" ht="187.25" customHeight="1" x14ac:dyDescent="0.35">
      <c r="A5" s="7" t="s">
        <v>62</v>
      </c>
      <c r="B5" s="7" t="s">
        <v>62</v>
      </c>
      <c r="C5" s="7" t="s">
        <v>63</v>
      </c>
      <c r="D5" s="7" t="s">
        <v>64</v>
      </c>
      <c r="E5" s="9">
        <v>40844</v>
      </c>
      <c r="F5" s="7" t="s">
        <v>16</v>
      </c>
      <c r="G5" s="7" t="s">
        <v>65</v>
      </c>
      <c r="H5" s="7" t="s">
        <v>66</v>
      </c>
      <c r="I5" s="7" t="s">
        <v>67</v>
      </c>
      <c r="J5" s="7" t="s">
        <v>68</v>
      </c>
      <c r="K5" s="7"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Lecciones Aprendidas</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ANTONELLA MARIA VALENTINA ORELLANA SERRANO</cp:lastModifiedBy>
  <dcterms:created xsi:type="dcterms:W3CDTF">2012-09-02T03:53:17Z</dcterms:created>
  <dcterms:modified xsi:type="dcterms:W3CDTF">2026-10-04T20:17:38Z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ies>
</file>