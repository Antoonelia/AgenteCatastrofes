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n5b1ef\Documents\puppy_workspace\DUOC\"/>
    </mc:Choice>
  </mc:AlternateContent>
  <xr:revisionPtr revIDLastSave="0" documentId="13_ncr:1_{A4145BEB-7BAB-4438-B4C4-52C3906DC005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Flujo - Economica" sheetId="2" r:id="rId1"/>
    <sheet name="Flujo - Estandar" sheetId="3" r:id="rId2"/>
    <sheet name="Flujo - Empresaria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4" l="1"/>
  <c r="C57" i="4"/>
  <c r="C59" i="4" s="1"/>
  <c r="G46" i="4"/>
  <c r="G33" i="4"/>
  <c r="S20" i="4"/>
  <c r="E18" i="4"/>
  <c r="D18" i="4"/>
  <c r="J15" i="4"/>
  <c r="J16" i="4" s="1"/>
  <c r="J17" i="4" s="1"/>
  <c r="N14" i="4"/>
  <c r="S13" i="4"/>
  <c r="S12" i="4"/>
  <c r="E12" i="4"/>
  <c r="E13" i="4" s="1"/>
  <c r="D12" i="4"/>
  <c r="D13" i="4" s="1"/>
  <c r="C62" i="3"/>
  <c r="C57" i="3"/>
  <c r="C59" i="3" s="1"/>
  <c r="G46" i="3"/>
  <c r="G33" i="3"/>
  <c r="G35" i="3" s="1"/>
  <c r="S20" i="3"/>
  <c r="E20" i="3"/>
  <c r="D20" i="3"/>
  <c r="E18" i="3"/>
  <c r="E21" i="3" s="1"/>
  <c r="D18" i="3"/>
  <c r="D21" i="3" s="1"/>
  <c r="C18" i="3"/>
  <c r="J15" i="3"/>
  <c r="J16" i="3" s="1"/>
  <c r="J17" i="3" s="1"/>
  <c r="N14" i="3"/>
  <c r="S13" i="3"/>
  <c r="S12" i="3"/>
  <c r="E12" i="3"/>
  <c r="E13" i="3" s="1"/>
  <c r="E23" i="3" s="1"/>
  <c r="M9" i="3" s="1"/>
  <c r="D12" i="3"/>
  <c r="D13" i="3" s="1"/>
  <c r="D23" i="3" s="1"/>
  <c r="M8" i="3" s="1"/>
  <c r="C62" i="2"/>
  <c r="C57" i="2"/>
  <c r="C59" i="2" s="1"/>
  <c r="G46" i="2"/>
  <c r="G33" i="2"/>
  <c r="S20" i="2"/>
  <c r="E20" i="2"/>
  <c r="D20" i="2"/>
  <c r="E18" i="2"/>
  <c r="E21" i="2" s="1"/>
  <c r="D18" i="2"/>
  <c r="D21" i="2" s="1"/>
  <c r="J15" i="2"/>
  <c r="J16" i="2" s="1"/>
  <c r="J17" i="2" s="1"/>
  <c r="N14" i="2"/>
  <c r="S13" i="2"/>
  <c r="S12" i="2"/>
  <c r="E12" i="2"/>
  <c r="E13" i="2" s="1"/>
  <c r="E23" i="2" s="1"/>
  <c r="M9" i="2" s="1"/>
  <c r="D12" i="2"/>
  <c r="D13" i="2" s="1"/>
  <c r="D23" i="2" s="1"/>
  <c r="M8" i="2" s="1"/>
  <c r="C66" i="4" l="1"/>
  <c r="C67" i="4"/>
  <c r="C18" i="4"/>
  <c r="G35" i="4"/>
  <c r="D20" i="4"/>
  <c r="D21" i="4" s="1"/>
  <c r="D23" i="4" s="1"/>
  <c r="M8" i="4" s="1"/>
  <c r="E20" i="4"/>
  <c r="E21" i="4" s="1"/>
  <c r="E23" i="4" s="1"/>
  <c r="M9" i="4" s="1"/>
  <c r="C17" i="4"/>
  <c r="S14" i="4"/>
  <c r="C66" i="3"/>
  <c r="C67" i="3"/>
  <c r="C17" i="3"/>
  <c r="S14" i="3"/>
  <c r="C66" i="2"/>
  <c r="C67" i="2"/>
  <c r="C18" i="2"/>
  <c r="G35" i="2"/>
  <c r="S14" i="2"/>
  <c r="C17" i="2"/>
  <c r="M10" i="4" l="1"/>
  <c r="M11" i="4"/>
  <c r="C21" i="4"/>
  <c r="G21" i="4" s="1"/>
  <c r="C72" i="4" s="1"/>
  <c r="C10" i="4"/>
  <c r="C12" i="4" s="1"/>
  <c r="C13" i="4" s="1"/>
  <c r="J6" i="4"/>
  <c r="M6" i="4" s="1"/>
  <c r="C73" i="3"/>
  <c r="M10" i="3"/>
  <c r="C74" i="3"/>
  <c r="M11" i="3"/>
  <c r="C21" i="3"/>
  <c r="G21" i="3" s="1"/>
  <c r="C72" i="3" s="1"/>
  <c r="J6" i="3"/>
  <c r="M6" i="3" s="1"/>
  <c r="C10" i="3"/>
  <c r="C12" i="3" s="1"/>
  <c r="C13" i="3" s="1"/>
  <c r="M10" i="2"/>
  <c r="M11" i="2"/>
  <c r="C21" i="2"/>
  <c r="G21" i="2" s="1"/>
  <c r="C72" i="2" s="1"/>
  <c r="J6" i="2"/>
  <c r="M6" i="2" s="1"/>
  <c r="C10" i="2"/>
  <c r="C12" i="2" s="1"/>
  <c r="C13" i="2" s="1"/>
  <c r="G13" i="4" l="1"/>
  <c r="G23" i="4" s="1"/>
  <c r="C23" i="4"/>
  <c r="G13" i="3"/>
  <c r="G23" i="3" s="1"/>
  <c r="C23" i="3"/>
  <c r="C23" i="2"/>
  <c r="G13" i="2"/>
  <c r="G23" i="2" s="1"/>
  <c r="C73" i="4"/>
  <c r="C74" i="4"/>
  <c r="C73" i="2"/>
  <c r="C74" i="2"/>
  <c r="M15" i="4" l="1"/>
  <c r="M7" i="4"/>
  <c r="M16" i="4" s="1"/>
  <c r="M15" i="3"/>
  <c r="M7" i="3"/>
  <c r="M16" i="3" s="1"/>
  <c r="M15" i="2"/>
  <c r="M7" i="2"/>
  <c r="M16" i="2" s="1"/>
</calcChain>
</file>

<file path=xl/sharedStrings.xml><?xml version="1.0" encoding="utf-8"?>
<sst xmlns="http://schemas.openxmlformats.org/spreadsheetml/2006/main" count="338" uniqueCount="121">
  <si>
    <t>FLUJO DE CAJA</t>
  </si>
  <si>
    <t>INGRESOS</t>
  </si>
  <si>
    <t>FLUJOS DE CAJA</t>
  </si>
  <si>
    <t>FICHA PROYECTO</t>
  </si>
  <si>
    <t>DASHBOARD ECONOMICO</t>
  </si>
  <si>
    <t>Sueldos Equipo Desarrollo</t>
  </si>
  <si>
    <t>Año 1</t>
  </si>
  <si>
    <t>Año 2</t>
  </si>
  <si>
    <t>Año 3</t>
  </si>
  <si>
    <t>Costo Proyecto</t>
  </si>
  <si>
    <t>Inversión</t>
  </si>
  <si>
    <t>Equipo</t>
  </si>
  <si>
    <t>Cargo</t>
  </si>
  <si>
    <t>Sueldo Mensual</t>
  </si>
  <si>
    <t>Valor Hora</t>
  </si>
  <si>
    <t>/H</t>
  </si>
  <si>
    <t>Cuota Cliente</t>
  </si>
  <si>
    <t>Rentabilidad</t>
  </si>
  <si>
    <t>Flujo Periodo 0</t>
  </si>
  <si>
    <t>Saldo Periodo Anterior</t>
  </si>
  <si>
    <t>Precio Venta</t>
  </si>
  <si>
    <t>Flujo Periodo 1</t>
  </si>
  <si>
    <t>Préstamos</t>
  </si>
  <si>
    <t>Flujo Periodo 2</t>
  </si>
  <si>
    <t>Ingresos Anuales</t>
  </si>
  <si>
    <t>Total sueldos / mes</t>
  </si>
  <si>
    <t>Saldos Mensuales</t>
  </si>
  <si>
    <t>Préstamo</t>
  </si>
  <si>
    <t>Total sueldo / diario</t>
  </si>
  <si>
    <t>Cuotas</t>
  </si>
  <si>
    <t>Tasa</t>
  </si>
  <si>
    <t>Total sueldos / año</t>
  </si>
  <si>
    <t>Egresos</t>
  </si>
  <si>
    <t>Interes</t>
  </si>
  <si>
    <t>VAN</t>
  </si>
  <si>
    <t>Valor Cuota</t>
  </si>
  <si>
    <t>TIR</t>
  </si>
  <si>
    <t>Sueldos Equipo Mantencion</t>
  </si>
  <si>
    <t>Costo Crédito</t>
  </si>
  <si>
    <t>Nota: Hazzi es una herramienta interna para Walmart Chile; no genera ingresos por venta. Su valor se mide en reduccion de tiempo de respuesta y de riesgo operacional, no en flujo de caja monetario.</t>
  </si>
  <si>
    <t>INVERSION</t>
  </si>
  <si>
    <t>Otros</t>
  </si>
  <si>
    <t>EGRESOS</t>
  </si>
  <si>
    <t>Nombre</t>
  </si>
  <si>
    <t>Costo</t>
  </si>
  <si>
    <t>Total sueldo / año</t>
  </si>
  <si>
    <t>Total Egresos</t>
  </si>
  <si>
    <t>Horas de desarrollo (equipo academico, costo referencial $0)</t>
  </si>
  <si>
    <t>SALDO</t>
  </si>
  <si>
    <t>Flujo</t>
  </si>
  <si>
    <t>Total Otros</t>
  </si>
  <si>
    <t>Otros años 2,3</t>
  </si>
  <si>
    <t>Egreso Gasto</t>
  </si>
  <si>
    <t>Arriendo, sueldo, servicios</t>
  </si>
  <si>
    <t>Egreso Costo</t>
  </si>
  <si>
    <t xml:space="preserve">Implementos tecnológicos y materiales </t>
  </si>
  <si>
    <t xml:space="preserve">Agente Hazzi Versión Economica </t>
  </si>
  <si>
    <t>Antonella Orellana / Yvo Muñoz</t>
  </si>
  <si>
    <t>Full-Stack (50% dedicación, alternando roles)</t>
  </si>
  <si>
    <t>Inversión (capital aportado para desarrollo)</t>
  </si>
  <si>
    <t>Beneficio Evitado /anio (bajo)</t>
  </si>
  <si>
    <t>Capital Inicial</t>
  </si>
  <si>
    <t>Beneficio Evitado /anio (alto)</t>
  </si>
  <si>
    <t>Duracion desarrollo (meses)</t>
  </si>
  <si>
    <t>Arriendos (trabajo remoto, sin oficina física)</t>
  </si>
  <si>
    <t>Sueldos (equipo de desarrollo, CAPEX inicial)</t>
  </si>
  <si>
    <t>Servicios (infraestructura y servicios externos, anual)</t>
  </si>
  <si>
    <t>Equipo de mantención</t>
  </si>
  <si>
    <t>Soporte y mantención (dedicación parcial post-lanzamiento)</t>
  </si>
  <si>
    <t>Cuota préstamo (sin financiamiento bancario)</t>
  </si>
  <si>
    <t>Mantención anual post-lanzamiento</t>
  </si>
  <si>
    <t>Hosting (VPS/PaaS capa gratuita-baja)</t>
  </si>
  <si>
    <t>Base de datos (SQLite / Postgres básico)</t>
  </si>
  <si>
    <t>Dominio + SSL</t>
  </si>
  <si>
    <t>Geocodificación (Nominatim/OSM gratuito)</t>
  </si>
  <si>
    <t>Monitoreo (logs básicos incluidos)</t>
  </si>
  <si>
    <t>Implementación (incluida en Sueldos / CAPEX inicial)</t>
  </si>
  <si>
    <t>Mantención de conectores ante cambios de formato en fuentes oficiales</t>
  </si>
  <si>
    <t>Mantención de infraestructura (servicios externos)</t>
  </si>
  <si>
    <t>BENEFICIO ESTIMADO - CONTINUIDAD OPERACIONAL (evitar que una amenaza se vuelva una interrupcion prolongada)</t>
  </si>
  <si>
    <t>Eventos de riesgo (naturales) monitoreados al anio</t>
  </si>
  <si>
    <t>% que escala a una interrupcion operacional real</t>
  </si>
  <si>
    <t>-&gt; Eventos/anio que requieren gestion real</t>
  </si>
  <si>
    <t>% de esos eventos que afecta sucursales (resto: CD/planta)</t>
  </si>
  <si>
    <t>-&gt; Eventos/anio que afectan una sucursal</t>
  </si>
  <si>
    <t>Duracion de referencia de una interrupcion sin Hazzi (horas)</t>
  </si>
  <si>
    <t>% de esa duracion que Hazzi ayuda a evitar (este escenario)</t>
  </si>
  <si>
    <t>-&gt; Horas de interrupcion evitadas por evento</t>
  </si>
  <si>
    <t>Costo por hora de interrupcion en sucursal grande - escenario bajo</t>
  </si>
  <si>
    <t>Costo por hora de interrupcion en sucursal grande - escenario alto</t>
  </si>
  <si>
    <t>BENEFICIO ANUAL ESTIMADO - escenario bajo</t>
  </si>
  <si>
    <t>BENEFICIO ANUAL ESTIMADO - escenario alto</t>
  </si>
  <si>
    <t>Costo promedio anual del proyecto (egresos totales 3 anios / 3)</t>
  </si>
  <si>
    <t>Beneficio / Costo anual (escenario bajo)</t>
  </si>
  <si>
    <t>Beneficio / Costo anual (escenario alto)</t>
  </si>
  <si>
    <t>Agente Hazzi  Versión Estandar</t>
  </si>
  <si>
    <t>Desarrollador Backend</t>
  </si>
  <si>
    <t>Backend (mid)</t>
  </si>
  <si>
    <t>Desarrollador Frontend</t>
  </si>
  <si>
    <t>Frontend (mid)</t>
  </si>
  <si>
    <t>QA / Scrum Master</t>
  </si>
  <si>
    <t>QA / Scrum Master (30% dedicación)</t>
  </si>
  <si>
    <t>Hosting cloud administrado (App Service / VM 4GB)</t>
  </si>
  <si>
    <t>Base de datos gestionada (backups automáticos)</t>
  </si>
  <si>
    <t>Dominio + SSL + CDN básico</t>
  </si>
  <si>
    <t>API de geocodificación con SLA (~20.000 consultas/mes)</t>
  </si>
  <si>
    <t>Monitoreo y alertas básico</t>
  </si>
  <si>
    <t>Agente Hazzi  Versión Empresarial</t>
  </si>
  <si>
    <t>Tech Lead</t>
  </si>
  <si>
    <t>Tech Lead / Arquitecto</t>
  </si>
  <si>
    <t>2 Desarrolladores Senior</t>
  </si>
  <si>
    <t>Backend + Frontend Senior</t>
  </si>
  <si>
    <t>QA Analyst</t>
  </si>
  <si>
    <t>QA Analyst dedicado</t>
  </si>
  <si>
    <t>PM/Scrum Master + DevOps</t>
  </si>
  <si>
    <t>PM/Scrum Master + DevOps 40% (combinado)</t>
  </si>
  <si>
    <t>Infraestructura multi-región con alta disponibilidad</t>
  </si>
  <si>
    <t>Base de datos enterprise (réplicas, failover)</t>
  </si>
  <si>
    <t>CDN + WAF + balanceador de carga</t>
  </si>
  <si>
    <t>Contrato enterprise de geocodificación/mapas con SLA</t>
  </si>
  <si>
    <t>Observabilidad enterprise (APM 24/7)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</si>
</sst>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41" formatCode="_ * #,##0_ ;_ * \-#,##0_ ;_ * &quot;-&quot;_ ;_ @_ "/>
    <numFmt numFmtId="164" formatCode="[$$]#,##0"/>
    <numFmt numFmtId="165" formatCode="_ * #,##0.00_ ;_ * \-#,##0.00_ ;_ * &quot;-&quot;_ ;_ @_ "/>
    <numFmt numFmtId="166" formatCode="0.0"/>
    <numFmt numFmtId="167" formatCode="0.0&quot;x&quot;"/>
  </numFmts>
  <fonts count="19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b/>
      <sz val="11"/>
      <color theme="1"/>
      <name val="Arial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Arial"/>
    </font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rgb="FF000000"/>
      <name val="Arial Narrow"/>
    </font>
    <font>
      <sz val="11"/>
      <color theme="1"/>
      <name val="Arial Narrow"/>
    </font>
    <font>
      <sz val="11"/>
      <color theme="1"/>
      <name val="Noto Sans Symbols"/>
    </font>
    <font>
      <i/>
      <sz val="9"/>
      <color rgb="FF7F7F7F"/>
      <name val="Calibri"/>
    </font>
    <font>
      <b/>
      <sz val="11"/>
      <name val="Calibri"/>
    </font>
    <font>
      <i/>
      <sz val="9"/>
      <color rgb="FF7F7F7F"/>
      <name val="Calibri"/>
    </font>
    <font>
      <b/>
      <sz val="11"/>
      <name val="Calibri"/>
    </font>
    <font>
      <b/>
      <sz val="11"/>
      <color rgb="FF2E7D32"/>
      <name val="Calibri"/>
    </font>
    <font>
      <i/>
      <sz val="8"/>
      <color rgb="FF7F7F7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B4C6E7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9" tint="0.59999389629810485"/>
        <bgColor rgb="FF92D05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2CC"/>
        <bgColor rgb="FFFFF2CC"/>
      </patternFill>
    </fill>
  </fills>
  <borders count="50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46"/>
  </cellStyleXfs>
  <cellXfs count="128">
    <xf numFmtId="0" fontId="0" fillId="0" borderId="0" xfId="0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1" fontId="5" fillId="0" borderId="0" xfId="0" applyNumberFormat="1" applyFont="1" applyBorder="1"/>
    <xf numFmtId="0" fontId="5" fillId="0" borderId="12" xfId="0" applyFont="1" applyBorder="1"/>
    <xf numFmtId="41" fontId="5" fillId="0" borderId="12" xfId="0" applyNumberFormat="1" applyFont="1" applyBorder="1"/>
    <xf numFmtId="0" fontId="3" fillId="2" borderId="12" xfId="0" applyFont="1" applyFill="1" applyBorder="1"/>
    <xf numFmtId="0" fontId="3" fillId="2" borderId="13" xfId="0" applyFont="1" applyFill="1" applyBorder="1"/>
    <xf numFmtId="0" fontId="3" fillId="2" borderId="13" xfId="0" applyFont="1" applyFill="1" applyBorder="1" applyAlignment="1">
      <alignment horizontal="right"/>
    </xf>
    <xf numFmtId="0" fontId="5" fillId="0" borderId="14" xfId="0" applyFont="1" applyBorder="1" applyAlignment="1">
      <alignment horizontal="center"/>
    </xf>
    <xf numFmtId="164" fontId="5" fillId="0" borderId="12" xfId="0" applyNumberFormat="1" applyFont="1" applyBorder="1"/>
    <xf numFmtId="164" fontId="5" fillId="0" borderId="15" xfId="0" applyNumberFormat="1" applyFont="1" applyBorder="1"/>
    <xf numFmtId="164" fontId="5" fillId="0" borderId="0" xfId="0" applyNumberFormat="1" applyFont="1" applyBorder="1"/>
    <xf numFmtId="0" fontId="5" fillId="0" borderId="16" xfId="0" applyFont="1" applyBorder="1"/>
    <xf numFmtId="165" fontId="5" fillId="0" borderId="17" xfId="0" applyNumberFormat="1" applyFont="1" applyBorder="1"/>
    <xf numFmtId="0" fontId="5" fillId="0" borderId="18" xfId="0" applyFont="1" applyBorder="1"/>
    <xf numFmtId="41" fontId="5" fillId="0" borderId="18" xfId="0" applyNumberFormat="1" applyFont="1" applyBorder="1"/>
    <xf numFmtId="0" fontId="6" fillId="0" borderId="18" xfId="0" applyFont="1" applyBorder="1"/>
    <xf numFmtId="164" fontId="7" fillId="0" borderId="18" xfId="0" applyNumberFormat="1" applyFont="1" applyBorder="1"/>
    <xf numFmtId="164" fontId="6" fillId="0" borderId="18" xfId="0" applyNumberFormat="1" applyFont="1" applyBorder="1"/>
    <xf numFmtId="0" fontId="5" fillId="0" borderId="19" xfId="0" applyFont="1" applyBorder="1" applyAlignment="1">
      <alignment horizontal="center"/>
    </xf>
    <xf numFmtId="164" fontId="5" fillId="0" borderId="18" xfId="0" applyNumberFormat="1" applyFont="1" applyBorder="1"/>
    <xf numFmtId="164" fontId="5" fillId="0" borderId="20" xfId="0" applyNumberFormat="1" applyFont="1" applyBorder="1"/>
    <xf numFmtId="41" fontId="5" fillId="0" borderId="17" xfId="0" applyNumberFormat="1" applyFont="1" applyBorder="1"/>
    <xf numFmtId="0" fontId="5" fillId="0" borderId="19" xfId="0" applyFont="1" applyBorder="1"/>
    <xf numFmtId="164" fontId="8" fillId="0" borderId="0" xfId="0" applyNumberFormat="1" applyFont="1" applyBorder="1"/>
    <xf numFmtId="0" fontId="6" fillId="0" borderId="0" xfId="0" applyFont="1" applyBorder="1"/>
    <xf numFmtId="0" fontId="5" fillId="0" borderId="21" xfId="0" applyFont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0" fontId="9" fillId="0" borderId="0" xfId="0" applyFont="1" applyBorder="1" applyAlignment="1">
      <alignment horizontal="center"/>
    </xf>
    <xf numFmtId="164" fontId="6" fillId="0" borderId="18" xfId="0" applyNumberFormat="1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7" fillId="0" borderId="18" xfId="0" applyFont="1" applyBorder="1"/>
    <xf numFmtId="0" fontId="5" fillId="0" borderId="1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9" fontId="5" fillId="0" borderId="0" xfId="0" applyNumberFormat="1" applyFont="1" applyBorder="1"/>
    <xf numFmtId="0" fontId="6" fillId="0" borderId="27" xfId="0" applyFont="1" applyBorder="1"/>
    <xf numFmtId="165" fontId="5" fillId="0" borderId="0" xfId="0" applyNumberFormat="1" applyFont="1" applyBorder="1"/>
    <xf numFmtId="41" fontId="5" fillId="0" borderId="18" xfId="0" applyNumberFormat="1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9" fontId="5" fillId="0" borderId="18" xfId="0" applyNumberFormat="1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41" fontId="5" fillId="0" borderId="32" xfId="0" applyNumberFormat="1" applyFont="1" applyBorder="1"/>
    <xf numFmtId="0" fontId="5" fillId="3" borderId="33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5" fillId="4" borderId="35" xfId="0" applyFont="1" applyFill="1" applyBorder="1"/>
    <xf numFmtId="164" fontId="5" fillId="4" borderId="36" xfId="0" applyNumberFormat="1" applyFont="1" applyFill="1" applyBorder="1"/>
    <xf numFmtId="164" fontId="5" fillId="4" borderId="37" xfId="0" applyNumberFormat="1" applyFont="1" applyFill="1" applyBorder="1"/>
    <xf numFmtId="0" fontId="5" fillId="0" borderId="38" xfId="0" applyFont="1" applyBorder="1" applyAlignment="1">
      <alignment wrapText="1"/>
    </xf>
    <xf numFmtId="3" fontId="5" fillId="0" borderId="39" xfId="0" applyNumberFormat="1" applyFont="1" applyBorder="1" applyAlignment="1">
      <alignment horizontal="right" wrapText="1"/>
    </xf>
    <xf numFmtId="0" fontId="5" fillId="0" borderId="40" xfId="0" applyFont="1" applyBorder="1" applyAlignment="1">
      <alignment wrapText="1"/>
    </xf>
    <xf numFmtId="3" fontId="5" fillId="0" borderId="41" xfId="0" applyNumberFormat="1" applyFont="1" applyBorder="1" applyAlignment="1">
      <alignment horizontal="right" wrapText="1"/>
    </xf>
    <xf numFmtId="0" fontId="5" fillId="0" borderId="43" xfId="0" applyFont="1" applyBorder="1" applyAlignment="1">
      <alignment wrapText="1"/>
    </xf>
    <xf numFmtId="3" fontId="5" fillId="0" borderId="43" xfId="0" applyNumberFormat="1" applyFont="1" applyBorder="1" applyAlignment="1">
      <alignment horizontal="right" wrapText="1"/>
    </xf>
    <xf numFmtId="0" fontId="5" fillId="0" borderId="0" xfId="0" applyFont="1" applyBorder="1" applyAlignment="1">
      <alignment wrapText="1"/>
    </xf>
    <xf numFmtId="164" fontId="10" fillId="0" borderId="18" xfId="0" applyNumberFormat="1" applyFont="1" applyBorder="1" applyAlignment="1">
      <alignment horizontal="right"/>
    </xf>
    <xf numFmtId="164" fontId="11" fillId="0" borderId="18" xfId="0" applyNumberFormat="1" applyFont="1" applyBorder="1" applyAlignment="1">
      <alignment horizontal="right" vertical="center"/>
    </xf>
    <xf numFmtId="164" fontId="11" fillId="0" borderId="18" xfId="0" applyNumberFormat="1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3" fontId="2" fillId="0" borderId="0" xfId="0" applyNumberFormat="1" applyFont="1" applyBorder="1" applyAlignment="1">
      <alignment horizontal="right"/>
    </xf>
    <xf numFmtId="3" fontId="10" fillId="0" borderId="18" xfId="0" applyNumberFormat="1" applyFont="1" applyBorder="1" applyAlignment="1">
      <alignment horizontal="right"/>
    </xf>
    <xf numFmtId="3" fontId="12" fillId="0" borderId="18" xfId="0" applyNumberFormat="1" applyFont="1" applyBorder="1" applyAlignment="1">
      <alignment horizontal="right" vertical="center"/>
    </xf>
    <xf numFmtId="3" fontId="5" fillId="0" borderId="18" xfId="0" applyNumberFormat="1" applyFont="1" applyBorder="1" applyAlignment="1">
      <alignment horizontal="right"/>
    </xf>
    <xf numFmtId="0" fontId="2" fillId="0" borderId="0" xfId="0" applyFont="1" applyBorder="1"/>
    <xf numFmtId="3" fontId="5" fillId="0" borderId="0" xfId="0" applyNumberFormat="1" applyFont="1" applyBorder="1"/>
    <xf numFmtId="0" fontId="5" fillId="5" borderId="16" xfId="0" applyFont="1" applyFill="1" applyBorder="1"/>
    <xf numFmtId="41" fontId="5" fillId="5" borderId="17" xfId="0" applyNumberFormat="1" applyFont="1" applyFill="1" applyBorder="1"/>
    <xf numFmtId="0" fontId="5" fillId="7" borderId="10" xfId="0" applyFont="1" applyFill="1" applyBorder="1"/>
    <xf numFmtId="41" fontId="5" fillId="7" borderId="11" xfId="0" applyNumberFormat="1" applyFont="1" applyFill="1" applyBorder="1"/>
    <xf numFmtId="0" fontId="5" fillId="8" borderId="16" xfId="0" applyFont="1" applyFill="1" applyBorder="1" applyAlignment="1">
      <alignment horizontal="center"/>
    </xf>
    <xf numFmtId="41" fontId="5" fillId="8" borderId="17" xfId="0" applyNumberFormat="1" applyFont="1" applyFill="1" applyBorder="1"/>
    <xf numFmtId="0" fontId="5" fillId="9" borderId="24" xfId="0" applyFont="1" applyFill="1" applyBorder="1"/>
    <xf numFmtId="164" fontId="5" fillId="9" borderId="25" xfId="0" applyNumberFormat="1" applyFont="1" applyFill="1" applyBorder="1"/>
    <xf numFmtId="164" fontId="5" fillId="9" borderId="26" xfId="0" applyNumberFormat="1" applyFont="1" applyFill="1" applyBorder="1"/>
    <xf numFmtId="0" fontId="2" fillId="10" borderId="42" xfId="0" applyFont="1" applyFill="1" applyBorder="1"/>
    <xf numFmtId="164" fontId="2" fillId="10" borderId="25" xfId="0" applyNumberFormat="1" applyFont="1" applyFill="1" applyBorder="1"/>
    <xf numFmtId="164" fontId="2" fillId="10" borderId="26" xfId="0" applyNumberFormat="1" applyFont="1" applyFill="1" applyBorder="1"/>
    <xf numFmtId="164" fontId="2" fillId="11" borderId="12" xfId="0" applyNumberFormat="1" applyFont="1" applyFill="1" applyBorder="1" applyAlignment="1">
      <alignment horizontal="right"/>
    </xf>
    <xf numFmtId="42" fontId="2" fillId="11" borderId="18" xfId="0" applyNumberFormat="1" applyFont="1" applyFill="1" applyBorder="1" applyAlignment="1">
      <alignment horizontal="right"/>
    </xf>
    <xf numFmtId="1" fontId="0" fillId="12" borderId="49" xfId="0" applyNumberFormat="1" applyFill="1" applyBorder="1"/>
    <xf numFmtId="9" fontId="0" fillId="12" borderId="49" xfId="0" applyNumberFormat="1" applyFill="1" applyBorder="1"/>
    <xf numFmtId="166" fontId="0" fillId="0" borderId="0" xfId="0" applyNumberFormat="1" applyBorder="1"/>
    <xf numFmtId="166" fontId="0" fillId="12" borderId="49" xfId="0" applyNumberFormat="1" applyFill="1" applyBorder="1"/>
    <xf numFmtId="2" fontId="0" fillId="0" borderId="0" xfId="0" applyNumberFormat="1" applyBorder="1"/>
    <xf numFmtId="3" fontId="0" fillId="12" borderId="49" xfId="0" applyNumberFormat="1" applyFill="1" applyBorder="1"/>
    <xf numFmtId="0" fontId="16" fillId="0" borderId="0" xfId="0" applyFont="1" applyBorder="1"/>
    <xf numFmtId="3" fontId="16" fillId="0" borderId="0" xfId="0" applyNumberFormat="1" applyFont="1" applyBorder="1"/>
    <xf numFmtId="3" fontId="0" fillId="0" borderId="0" xfId="0" applyNumberFormat="1" applyBorder="1"/>
    <xf numFmtId="167" fontId="0" fillId="0" borderId="0" xfId="0" applyNumberFormat="1" applyBorder="1"/>
    <xf numFmtId="0" fontId="17" fillId="0" borderId="18" xfId="0" applyFont="1" applyBorder="1"/>
    <xf numFmtId="3" fontId="17" fillId="0" borderId="18" xfId="0" applyNumberFormat="1" applyFont="1" applyBorder="1"/>
    <xf numFmtId="0" fontId="18" fillId="0" borderId="18" xfId="0" applyFont="1" applyBorder="1"/>
    <xf numFmtId="0" fontId="2" fillId="0" borderId="18" xfId="0" applyFont="1" applyBorder="1" applyAlignment="1">
      <alignment horizontal="center" vertical="center"/>
    </xf>
    <xf numFmtId="0" fontId="0" fillId="0" borderId="44" xfId="0" applyBorder="1"/>
    <xf numFmtId="0" fontId="0" fillId="0" borderId="12" xfId="0" applyBorder="1"/>
    <xf numFmtId="0" fontId="5" fillId="0" borderId="46" xfId="0" applyFont="1" applyAlignment="1">
      <alignment horizontal="left"/>
    </xf>
    <xf numFmtId="0" fontId="0" fillId="0" borderId="0" xfId="0" applyBorder="1"/>
    <xf numFmtId="0" fontId="3" fillId="6" borderId="18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5" fillId="0" borderId="18" xfId="0" applyFont="1" applyBorder="1" applyAlignment="1">
      <alignment horizontal="left" wrapText="1"/>
    </xf>
    <xf numFmtId="0" fontId="2" fillId="0" borderId="48" xfId="0" applyFont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1" fillId="0" borderId="46" xfId="0" applyFont="1" applyAlignment="1">
      <alignment horizontal="center"/>
    </xf>
    <xf numFmtId="0" fontId="2" fillId="6" borderId="33" xfId="0" applyFont="1" applyFill="1" applyBorder="1" applyAlignment="1">
      <alignment horizontal="center"/>
    </xf>
    <xf numFmtId="0" fontId="0" fillId="0" borderId="3" xfId="0" applyBorder="1"/>
    <xf numFmtId="0" fontId="5" fillId="0" borderId="18" xfId="0" applyFont="1" applyBorder="1"/>
    <xf numFmtId="0" fontId="5" fillId="0" borderId="18" xfId="0" applyFont="1" applyBorder="1" applyAlignment="1">
      <alignment horizontal="left"/>
    </xf>
    <xf numFmtId="0" fontId="2" fillId="6" borderId="47" xfId="0" applyFont="1" applyFill="1" applyBorder="1" applyAlignment="1">
      <alignment horizontal="center"/>
    </xf>
    <xf numFmtId="0" fontId="0" fillId="0" borderId="4" xfId="0" applyBorder="1"/>
    <xf numFmtId="0" fontId="2" fillId="11" borderId="12" xfId="0" applyFont="1" applyFill="1" applyBorder="1" applyAlignment="1">
      <alignment horizontal="left"/>
    </xf>
    <xf numFmtId="0" fontId="0" fillId="0" borderId="45" xfId="0" applyBorder="1"/>
    <xf numFmtId="0" fontId="0" fillId="0" borderId="13" xfId="0" applyBorder="1"/>
    <xf numFmtId="0" fontId="2" fillId="0" borderId="46" xfId="0" applyFont="1" applyAlignment="1">
      <alignment horizontal="center"/>
    </xf>
    <xf numFmtId="0" fontId="2" fillId="6" borderId="43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2" fillId="11" borderId="18" xfId="0" applyFont="1" applyFill="1" applyBorder="1" applyAlignment="1">
      <alignment horizontal="left"/>
    </xf>
    <xf numFmtId="0" fontId="15" fillId="0" borderId="46" xfId="0" applyFont="1" applyAlignment="1">
      <alignment wrapText="1"/>
    </xf>
    <xf numFmtId="0" fontId="13" fillId="0" borderId="46" xfId="0" applyFont="1" applyAlignment="1">
      <alignment vertical="top" wrapText="1"/>
    </xf>
    <xf numFmtId="0" fontId="15" fillId="0" borderId="46" xfId="0" applyFont="1" applyAlignment="1">
      <alignment vertical="top" wrapText="1"/>
    </xf>
    <xf numFmtId="0" fontId="14" fillId="0" borderId="46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1008"/>
  <sheetViews>
    <sheetView zoomScale="70" zoomScaleNormal="70" workbookViewId="0">
      <selection activeCell="O19" sqref="O19"/>
    </sheetView>
  </sheetViews>
  <sheetFormatPr baseColWidth="10" defaultColWidth="14.453125" defaultRowHeight="15" customHeight="1"/>
  <cols>
    <col min="1" max="1" width="10.7265625" customWidth="1"/>
    <col min="2" max="2" width="21.453125" customWidth="1"/>
    <col min="3" max="3" width="14.26953125" customWidth="1"/>
    <col min="4" max="4" width="17.54296875" customWidth="1"/>
    <col min="5" max="5" width="20.1796875" customWidth="1"/>
    <col min="6" max="6" width="12.81640625" customWidth="1"/>
    <col min="7" max="7" width="14.26953125" customWidth="1"/>
    <col min="9" max="9" width="14.26953125" customWidth="1"/>
    <col min="10" max="10" width="13.7265625" customWidth="1"/>
    <col min="11" max="11" width="12.1796875" customWidth="1"/>
    <col min="12" max="12" width="24.1796875" customWidth="1"/>
    <col min="13" max="13" width="12.453125" customWidth="1"/>
    <col min="14" max="14" width="4.81640625" customWidth="1"/>
    <col min="15" max="16" width="10.7265625" customWidth="1"/>
    <col min="17" max="17" width="32.54296875" customWidth="1"/>
    <col min="18" max="18" width="19" customWidth="1"/>
    <col min="19" max="19" width="17.1796875" customWidth="1"/>
    <col min="20" max="20" width="11.54296875" customWidth="1"/>
    <col min="21" max="21" width="6" customWidth="1"/>
    <col min="22" max="26" width="10.7265625" customWidth="1"/>
  </cols>
  <sheetData>
    <row r="1" spans="2:21" ht="15" customHeight="1">
      <c r="B1" s="109" t="s">
        <v>0</v>
      </c>
      <c r="C1" s="101"/>
      <c r="D1" s="101"/>
      <c r="E1" s="101"/>
      <c r="F1" s="101"/>
      <c r="G1" s="101"/>
      <c r="H1" s="101"/>
      <c r="I1" s="101"/>
      <c r="J1" s="101"/>
    </row>
    <row r="2" spans="2:21" ht="15" customHeight="1">
      <c r="B2" s="109" t="s">
        <v>56</v>
      </c>
      <c r="C2" s="101"/>
      <c r="D2" s="101"/>
      <c r="E2" s="101"/>
      <c r="F2" s="101"/>
      <c r="G2" s="101"/>
      <c r="H2" s="101"/>
      <c r="I2" s="101"/>
      <c r="J2" s="101"/>
    </row>
    <row r="3" spans="2:21" ht="15" customHeight="1">
      <c r="B3" s="1"/>
      <c r="C3" s="1"/>
      <c r="D3" s="1"/>
      <c r="E3" s="1"/>
      <c r="F3" s="1"/>
      <c r="G3" s="1"/>
      <c r="H3" s="1"/>
      <c r="I3" s="1"/>
    </row>
    <row r="4" spans="2:21" ht="15" customHeight="1">
      <c r="B4" s="119" t="s">
        <v>1</v>
      </c>
      <c r="C4" s="101"/>
      <c r="D4" s="101"/>
      <c r="E4" s="101"/>
      <c r="F4" s="101"/>
      <c r="G4" s="101"/>
    </row>
    <row r="5" spans="2:21" ht="14.5" customHeight="1">
      <c r="C5" s="120" t="s">
        <v>2</v>
      </c>
      <c r="D5" s="121"/>
      <c r="E5" s="122"/>
      <c r="F5" s="2"/>
      <c r="G5" s="2"/>
      <c r="I5" s="110" t="s">
        <v>3</v>
      </c>
      <c r="J5" s="111"/>
      <c r="L5" s="114" t="s">
        <v>4</v>
      </c>
      <c r="M5" s="115"/>
      <c r="N5" s="2"/>
      <c r="Q5" s="102" t="s">
        <v>5</v>
      </c>
      <c r="R5" s="103"/>
      <c r="S5" s="103"/>
      <c r="T5" s="103"/>
      <c r="U5" s="104"/>
    </row>
    <row r="6" spans="2:21" ht="15.75" customHeight="1">
      <c r="C6" s="3" t="s">
        <v>6</v>
      </c>
      <c r="D6" s="4" t="s">
        <v>7</v>
      </c>
      <c r="E6" s="5" t="s">
        <v>8</v>
      </c>
      <c r="F6" s="6"/>
      <c r="G6" s="6"/>
      <c r="I6" s="72" t="s">
        <v>9</v>
      </c>
      <c r="J6" s="73">
        <f>C17</f>
        <v>3600000</v>
      </c>
      <c r="K6" s="7"/>
      <c r="L6" s="8" t="s">
        <v>10</v>
      </c>
      <c r="M6" s="9">
        <f>(J6*-1)-M21</f>
        <v>-3600000</v>
      </c>
      <c r="Q6" s="10" t="s">
        <v>11</v>
      </c>
      <c r="R6" s="11" t="s">
        <v>12</v>
      </c>
      <c r="S6" s="11" t="s">
        <v>13</v>
      </c>
      <c r="T6" s="12" t="s">
        <v>14</v>
      </c>
      <c r="U6" s="11" t="s">
        <v>15</v>
      </c>
    </row>
    <row r="7" spans="2:21" ht="14.5" customHeight="1">
      <c r="B7" s="13" t="s">
        <v>16</v>
      </c>
      <c r="C7" s="14">
        <v>0</v>
      </c>
      <c r="D7" s="14">
        <v>0</v>
      </c>
      <c r="E7" s="15">
        <v>0</v>
      </c>
      <c r="F7" s="16"/>
      <c r="G7" s="16"/>
      <c r="I7" s="17" t="s">
        <v>17</v>
      </c>
      <c r="J7" s="18">
        <v>0</v>
      </c>
      <c r="K7" s="7"/>
      <c r="L7" s="19" t="s">
        <v>18</v>
      </c>
      <c r="M7" s="20">
        <f>+C23</f>
        <v>-198000</v>
      </c>
      <c r="Q7" s="21" t="s">
        <v>57</v>
      </c>
      <c r="R7" s="21" t="s">
        <v>58</v>
      </c>
      <c r="S7" s="22">
        <v>1200000</v>
      </c>
      <c r="T7" s="23">
        <v>6818</v>
      </c>
      <c r="U7" s="21" t="s">
        <v>15</v>
      </c>
    </row>
    <row r="8" spans="2:21" ht="14.5" customHeight="1">
      <c r="B8" s="24" t="s">
        <v>19</v>
      </c>
      <c r="C8" s="25">
        <v>0</v>
      </c>
      <c r="D8" s="25">
        <v>0</v>
      </c>
      <c r="E8" s="26">
        <v>0</v>
      </c>
      <c r="F8" s="16"/>
      <c r="G8" s="16"/>
      <c r="I8" s="70" t="s">
        <v>20</v>
      </c>
      <c r="J8" s="71">
        <v>0</v>
      </c>
      <c r="K8" s="7"/>
      <c r="L8" s="19" t="s">
        <v>21</v>
      </c>
      <c r="M8" s="20">
        <f>+D23</f>
        <v>-558000</v>
      </c>
      <c r="Q8" s="21"/>
      <c r="R8" s="21"/>
      <c r="S8" s="22">
        <v>0</v>
      </c>
      <c r="T8" s="23">
        <v>0</v>
      </c>
      <c r="U8" s="21" t="s">
        <v>15</v>
      </c>
    </row>
    <row r="9" spans="2:21" ht="14.5" customHeight="1">
      <c r="B9" s="24" t="s">
        <v>22</v>
      </c>
      <c r="C9" s="25">
        <v>0</v>
      </c>
      <c r="D9" s="25">
        <v>0</v>
      </c>
      <c r="E9" s="26">
        <v>0</v>
      </c>
      <c r="F9" s="16"/>
      <c r="G9" s="16"/>
      <c r="I9" s="17" t="s">
        <v>17</v>
      </c>
      <c r="J9" s="27">
        <v>0</v>
      </c>
      <c r="K9" s="7"/>
      <c r="L9" s="19" t="s">
        <v>23</v>
      </c>
      <c r="M9" s="20">
        <f>+E23</f>
        <v>-558000</v>
      </c>
      <c r="Q9" s="21"/>
      <c r="R9" s="21"/>
      <c r="S9" s="22">
        <v>0</v>
      </c>
      <c r="T9" s="23">
        <v>0</v>
      </c>
      <c r="U9" s="21" t="s">
        <v>15</v>
      </c>
    </row>
    <row r="10" spans="2:21" ht="14.5" customHeight="1">
      <c r="B10" s="28" t="s">
        <v>59</v>
      </c>
      <c r="C10" s="25">
        <f>C17</f>
        <v>3600000</v>
      </c>
      <c r="D10" s="25">
        <v>0</v>
      </c>
      <c r="E10" s="26">
        <v>0</v>
      </c>
      <c r="F10" s="16"/>
      <c r="G10" s="29"/>
      <c r="I10" s="17"/>
      <c r="J10" s="27"/>
      <c r="K10" s="7"/>
      <c r="L10" s="94" t="s">
        <v>60</v>
      </c>
      <c r="M10" s="95">
        <f>C66</f>
        <v>213840000</v>
      </c>
      <c r="Q10" s="30"/>
      <c r="R10" s="30"/>
      <c r="S10" s="30">
        <v>0</v>
      </c>
      <c r="T10" s="30">
        <v>0</v>
      </c>
      <c r="U10" s="30"/>
    </row>
    <row r="11" spans="2:21" ht="14.5" customHeight="1">
      <c r="B11" s="31" t="s">
        <v>61</v>
      </c>
      <c r="C11" s="32">
        <v>0</v>
      </c>
      <c r="D11" s="32"/>
      <c r="E11" s="33">
        <v>0</v>
      </c>
      <c r="F11" s="16"/>
      <c r="G11" s="29"/>
      <c r="I11" s="17"/>
      <c r="J11" s="27"/>
      <c r="K11" s="7"/>
      <c r="L11" s="94" t="s">
        <v>62</v>
      </c>
      <c r="M11" s="95">
        <f>C67</f>
        <v>427680000</v>
      </c>
      <c r="Q11" s="30"/>
      <c r="R11" s="30"/>
      <c r="S11" s="30"/>
      <c r="T11" s="30"/>
      <c r="U11" s="30"/>
    </row>
    <row r="12" spans="2:21" ht="14.5" customHeight="1">
      <c r="B12" s="31" t="s">
        <v>24</v>
      </c>
      <c r="C12" s="32">
        <f>SUM(C7:C11)</f>
        <v>3600000</v>
      </c>
      <c r="D12" s="32">
        <f>SUM(D7:D11)</f>
        <v>0</v>
      </c>
      <c r="E12" s="33">
        <f>SUM(E7:E11)</f>
        <v>0</v>
      </c>
      <c r="G12" s="34" t="s">
        <v>1</v>
      </c>
      <c r="I12" s="17"/>
      <c r="J12" s="27"/>
      <c r="K12" s="7"/>
      <c r="L12" s="96"/>
      <c r="M12" s="20"/>
      <c r="Q12" s="30"/>
      <c r="R12" s="21" t="s">
        <v>25</v>
      </c>
      <c r="S12" s="35">
        <f>SUM(S7:S10)</f>
        <v>1200000</v>
      </c>
      <c r="T12" s="36"/>
      <c r="U12" s="30"/>
    </row>
    <row r="13" spans="2:21" ht="14.5" customHeight="1">
      <c r="B13" s="76" t="s">
        <v>26</v>
      </c>
      <c r="C13" s="77">
        <f>+C12</f>
        <v>3600000</v>
      </c>
      <c r="D13" s="77">
        <f>D12</f>
        <v>0</v>
      </c>
      <c r="E13" s="78">
        <f>E12</f>
        <v>0</v>
      </c>
      <c r="G13" s="16">
        <f>SUM(C13,D13,E13)</f>
        <v>3600000</v>
      </c>
      <c r="I13" s="74" t="s">
        <v>27</v>
      </c>
      <c r="J13" s="75">
        <v>0</v>
      </c>
      <c r="K13" s="7"/>
      <c r="L13" s="19"/>
      <c r="M13" s="19"/>
      <c r="Q13" s="30"/>
      <c r="R13" s="37" t="s">
        <v>28</v>
      </c>
      <c r="S13" s="35">
        <f>8*T7</f>
        <v>54544</v>
      </c>
      <c r="T13" s="30"/>
      <c r="U13" s="30"/>
    </row>
    <row r="14" spans="2:21" ht="14.5" customHeight="1">
      <c r="C14" s="7"/>
      <c r="D14" s="7"/>
      <c r="E14" s="7"/>
      <c r="I14" s="38" t="s">
        <v>29</v>
      </c>
      <c r="J14" s="27">
        <v>12</v>
      </c>
      <c r="K14" s="7"/>
      <c r="L14" s="19" t="s">
        <v>30</v>
      </c>
      <c r="M14" s="39">
        <v>18</v>
      </c>
      <c r="N14" s="40">
        <f>+M14/100</f>
        <v>0.18</v>
      </c>
      <c r="Q14" s="41"/>
      <c r="R14" s="21" t="s">
        <v>31</v>
      </c>
      <c r="S14" s="23">
        <f>S12*12</f>
        <v>14400000</v>
      </c>
      <c r="T14" s="30"/>
      <c r="U14" s="30"/>
    </row>
    <row r="15" spans="2:21" ht="14.5" customHeight="1">
      <c r="B15" s="106" t="s">
        <v>32</v>
      </c>
      <c r="C15" s="107"/>
      <c r="D15" s="107"/>
      <c r="E15" s="108"/>
      <c r="I15" s="38" t="s">
        <v>33</v>
      </c>
      <c r="J15" s="18">
        <f>M14/J14</f>
        <v>1.5</v>
      </c>
      <c r="K15" s="42"/>
      <c r="L15" s="19" t="s">
        <v>34</v>
      </c>
      <c r="M15" s="43">
        <f>IFERROR(NPV(N14,C23,D23,E23)-J13,"N/A")</f>
        <v>-908159.5489314876</v>
      </c>
      <c r="Q15" s="30" t="s">
        <v>63</v>
      </c>
      <c r="R15" s="30">
        <v>3</v>
      </c>
      <c r="S15" s="30"/>
      <c r="T15" s="30"/>
      <c r="U15" s="30"/>
    </row>
    <row r="16" spans="2:21" ht="14.5" customHeight="1">
      <c r="B16" s="44" t="s">
        <v>64</v>
      </c>
      <c r="C16" s="25">
        <v>0</v>
      </c>
      <c r="D16" s="25">
        <v>0</v>
      </c>
      <c r="E16" s="26">
        <v>0</v>
      </c>
      <c r="I16" s="38" t="s">
        <v>35</v>
      </c>
      <c r="J16" s="27">
        <f>(J13/J14)*J15</f>
        <v>0</v>
      </c>
      <c r="K16" s="7"/>
      <c r="L16" s="19" t="s">
        <v>36</v>
      </c>
      <c r="M16" s="45" t="str">
        <f>IFERROR(IRR(M6:M9),"N/A")</f>
        <v>N/A</v>
      </c>
      <c r="Q16" s="102" t="s">
        <v>37</v>
      </c>
      <c r="R16" s="103"/>
      <c r="S16" s="103"/>
      <c r="T16" s="103"/>
      <c r="U16" s="104"/>
    </row>
    <row r="17" spans="2:21" ht="14.5" customHeight="1">
      <c r="B17" s="44" t="s">
        <v>65</v>
      </c>
      <c r="C17" s="25">
        <f>S12*$R$15</f>
        <v>3600000</v>
      </c>
      <c r="D17" s="26">
        <v>0</v>
      </c>
      <c r="E17" s="26">
        <v>0</v>
      </c>
      <c r="I17" s="46" t="s">
        <v>38</v>
      </c>
      <c r="J17" s="47">
        <f>+J16*J14</f>
        <v>0</v>
      </c>
      <c r="K17" s="7"/>
      <c r="L17" s="125"/>
      <c r="M17" s="101"/>
      <c r="N17" s="101"/>
      <c r="O17" s="101"/>
      <c r="P17" s="101"/>
      <c r="Q17" s="10" t="s">
        <v>11</v>
      </c>
      <c r="R17" s="11" t="s">
        <v>12</v>
      </c>
      <c r="S17" s="11" t="s">
        <v>13</v>
      </c>
      <c r="T17" s="12" t="s">
        <v>14</v>
      </c>
      <c r="U17" s="11" t="s">
        <v>15</v>
      </c>
    </row>
    <row r="18" spans="2:21" ht="14.5" customHeight="1">
      <c r="B18" s="44" t="s">
        <v>66</v>
      </c>
      <c r="C18" s="25">
        <f>G33</f>
        <v>198000</v>
      </c>
      <c r="D18" s="25">
        <f>G40</f>
        <v>198000</v>
      </c>
      <c r="E18" s="26">
        <f>G40</f>
        <v>198000</v>
      </c>
      <c r="L18" s="101"/>
      <c r="M18" s="101"/>
      <c r="N18" s="101"/>
      <c r="O18" s="101"/>
      <c r="P18" s="101"/>
      <c r="Q18" s="21" t="s">
        <v>67</v>
      </c>
      <c r="R18" s="21" t="s">
        <v>68</v>
      </c>
      <c r="S18" s="35">
        <v>30000</v>
      </c>
      <c r="T18" s="23">
        <v>170</v>
      </c>
      <c r="U18" s="21" t="s">
        <v>15</v>
      </c>
    </row>
    <row r="19" spans="2:21" ht="14.5" customHeight="1">
      <c r="B19" s="44" t="s">
        <v>69</v>
      </c>
      <c r="C19" s="25">
        <v>0</v>
      </c>
      <c r="D19" s="25">
        <v>0</v>
      </c>
      <c r="E19" s="26">
        <v>0</v>
      </c>
      <c r="L19" s="110" t="s">
        <v>40</v>
      </c>
      <c r="M19" s="111"/>
      <c r="Q19" s="30"/>
      <c r="R19" s="30"/>
      <c r="S19" s="30"/>
      <c r="T19" s="30"/>
      <c r="U19" s="30"/>
    </row>
    <row r="20" spans="2:21" ht="14.5" customHeight="1">
      <c r="B20" s="44" t="s">
        <v>70</v>
      </c>
      <c r="C20" s="25">
        <v>0</v>
      </c>
      <c r="D20" s="25">
        <f>S20</f>
        <v>360000</v>
      </c>
      <c r="E20" s="26">
        <f>S20</f>
        <v>360000</v>
      </c>
      <c r="G20" s="34" t="s">
        <v>42</v>
      </c>
      <c r="K20" s="7"/>
      <c r="L20" s="48" t="s">
        <v>43</v>
      </c>
      <c r="M20" s="49" t="s">
        <v>44</v>
      </c>
      <c r="Q20" s="30"/>
      <c r="R20" s="21" t="s">
        <v>45</v>
      </c>
      <c r="S20" s="23">
        <f>S18*12</f>
        <v>360000</v>
      </c>
      <c r="T20" s="30"/>
      <c r="U20" s="30"/>
    </row>
    <row r="21" spans="2:21" ht="43.5" customHeight="1">
      <c r="B21" s="50" t="s">
        <v>46</v>
      </c>
      <c r="C21" s="51">
        <f>SUM(C16:C20)</f>
        <v>3798000</v>
      </c>
      <c r="D21" s="51">
        <f>SUM(D16:D20)</f>
        <v>558000</v>
      </c>
      <c r="E21" s="52">
        <f>SUM(E16:E20)</f>
        <v>558000</v>
      </c>
      <c r="G21" s="16">
        <f>SUM(C21:E21)</f>
        <v>4914000</v>
      </c>
      <c r="K21" s="40"/>
      <c r="L21" s="53" t="s">
        <v>47</v>
      </c>
      <c r="M21" s="54">
        <v>0</v>
      </c>
    </row>
    <row r="22" spans="2:21" ht="14.5" customHeight="1">
      <c r="C22" s="7"/>
      <c r="D22" s="7"/>
      <c r="E22" s="7"/>
      <c r="G22" s="34" t="s">
        <v>48</v>
      </c>
      <c r="L22" s="55"/>
      <c r="M22" s="56"/>
    </row>
    <row r="23" spans="2:21" ht="14.5" customHeight="1">
      <c r="B23" s="79" t="s">
        <v>49</v>
      </c>
      <c r="C23" s="80">
        <f>+C13-C21</f>
        <v>-198000</v>
      </c>
      <c r="D23" s="80">
        <f>+D13-D21</f>
        <v>-558000</v>
      </c>
      <c r="E23" s="81">
        <f>+E13-E21</f>
        <v>-558000</v>
      </c>
      <c r="G23" s="16">
        <f>+G13-G21</f>
        <v>-1314000</v>
      </c>
      <c r="L23" s="57"/>
      <c r="M23" s="58"/>
    </row>
    <row r="24" spans="2:21" ht="15.75" customHeight="1">
      <c r="L24" s="59"/>
      <c r="M24" s="59"/>
    </row>
    <row r="25" spans="2:21" ht="15.75" customHeight="1">
      <c r="B25" s="97" t="s">
        <v>41</v>
      </c>
      <c r="C25" s="105" t="s">
        <v>71</v>
      </c>
      <c r="D25" s="103"/>
      <c r="E25" s="103"/>
      <c r="F25" s="104"/>
      <c r="G25" s="60">
        <v>180000</v>
      </c>
      <c r="I25" t="s">
        <v>39</v>
      </c>
      <c r="L25" s="59"/>
      <c r="M25" s="59"/>
    </row>
    <row r="26" spans="2:21" ht="15.75" customHeight="1">
      <c r="B26" s="98"/>
      <c r="C26" s="105" t="s">
        <v>72</v>
      </c>
      <c r="D26" s="103"/>
      <c r="E26" s="103"/>
      <c r="F26" s="104"/>
      <c r="G26" s="60">
        <v>0</v>
      </c>
      <c r="L26" s="59"/>
      <c r="M26" s="59"/>
    </row>
    <row r="27" spans="2:21" ht="15.75" customHeight="1">
      <c r="B27" s="98"/>
      <c r="C27" s="105" t="s">
        <v>73</v>
      </c>
      <c r="D27" s="103"/>
      <c r="E27" s="103"/>
      <c r="F27" s="104"/>
      <c r="G27" s="60">
        <v>18000</v>
      </c>
      <c r="L27" s="59"/>
      <c r="M27" s="59"/>
    </row>
    <row r="28" spans="2:21" ht="15.75" customHeight="1">
      <c r="B28" s="98"/>
      <c r="C28" s="112" t="s">
        <v>74</v>
      </c>
      <c r="D28" s="103"/>
      <c r="E28" s="103"/>
      <c r="F28" s="104"/>
      <c r="G28" s="60">
        <v>0</v>
      </c>
      <c r="L28" s="59"/>
      <c r="M28" s="59"/>
    </row>
    <row r="29" spans="2:21" ht="15.75" customHeight="1">
      <c r="B29" s="98"/>
      <c r="C29" s="112" t="s">
        <v>75</v>
      </c>
      <c r="D29" s="103"/>
      <c r="E29" s="103"/>
      <c r="F29" s="104"/>
      <c r="G29" s="61">
        <v>0</v>
      </c>
      <c r="L29" s="59"/>
      <c r="M29" s="59"/>
    </row>
    <row r="30" spans="2:21" ht="15.75" customHeight="1">
      <c r="B30" s="98"/>
      <c r="C30" s="112"/>
      <c r="D30" s="103"/>
      <c r="E30" s="103"/>
      <c r="F30" s="104"/>
      <c r="G30" s="62"/>
      <c r="L30" s="59"/>
      <c r="M30" s="59"/>
    </row>
    <row r="31" spans="2:21" ht="15.75" customHeight="1">
      <c r="B31" s="98"/>
      <c r="C31" s="112"/>
      <c r="D31" s="103"/>
      <c r="E31" s="103"/>
      <c r="F31" s="104"/>
      <c r="G31" s="61"/>
      <c r="L31" s="59"/>
      <c r="M31" s="59"/>
    </row>
    <row r="32" spans="2:21" ht="15.75" customHeight="1">
      <c r="B32" s="98"/>
      <c r="C32" s="112"/>
      <c r="D32" s="103"/>
      <c r="E32" s="103"/>
      <c r="F32" s="104"/>
      <c r="G32" s="62"/>
      <c r="L32" s="59"/>
      <c r="M32" s="59"/>
    </row>
    <row r="33" spans="2:13" ht="15.75" customHeight="1">
      <c r="B33" s="98"/>
      <c r="C33" s="112" t="s">
        <v>50</v>
      </c>
      <c r="D33" s="103"/>
      <c r="E33" s="103"/>
      <c r="F33" s="104"/>
      <c r="G33" s="62">
        <f>SUM(G25:G29)</f>
        <v>198000</v>
      </c>
      <c r="L33" s="59"/>
      <c r="M33" s="59"/>
    </row>
    <row r="34" spans="2:13" ht="15.75" customHeight="1">
      <c r="B34" s="99"/>
      <c r="C34" s="113" t="s">
        <v>76</v>
      </c>
      <c r="D34" s="103"/>
      <c r="E34" s="103"/>
      <c r="F34" s="104"/>
      <c r="G34" s="62">
        <v>0</v>
      </c>
      <c r="L34" s="59"/>
      <c r="M34" s="59"/>
    </row>
    <row r="35" spans="2:13" ht="15.75" customHeight="1">
      <c r="C35" s="116" t="s">
        <v>50</v>
      </c>
      <c r="D35" s="117"/>
      <c r="E35" s="117"/>
      <c r="F35" s="118"/>
      <c r="G35" s="82">
        <f>SUM(G25:G34)</f>
        <v>396000</v>
      </c>
      <c r="L35" s="59"/>
      <c r="M35" s="59"/>
    </row>
    <row r="36" spans="2:13" ht="15.75" customHeight="1">
      <c r="C36" s="63"/>
      <c r="D36" s="63"/>
      <c r="E36" s="63"/>
      <c r="F36" s="63"/>
      <c r="G36" s="64"/>
      <c r="L36" s="59"/>
      <c r="M36" s="59"/>
    </row>
    <row r="37" spans="2:13" ht="15.75" customHeight="1">
      <c r="C37" s="63"/>
      <c r="D37" s="63"/>
      <c r="E37" s="63"/>
      <c r="F37" s="63"/>
      <c r="G37" s="64"/>
      <c r="L37" s="59"/>
      <c r="M37" s="59"/>
    </row>
    <row r="38" spans="2:13" ht="15.75" customHeight="1">
      <c r="C38" s="63"/>
      <c r="D38" s="63"/>
      <c r="E38" s="63"/>
      <c r="F38" s="63"/>
      <c r="G38" s="64"/>
      <c r="L38" s="59"/>
      <c r="M38" s="59"/>
    </row>
    <row r="39" spans="2:13" ht="15.75" customHeight="1">
      <c r="B39" s="97" t="s">
        <v>51</v>
      </c>
      <c r="C39" s="105" t="s">
        <v>77</v>
      </c>
      <c r="D39" s="103"/>
      <c r="E39" s="103"/>
      <c r="F39" s="104"/>
      <c r="G39" s="65">
        <v>360000</v>
      </c>
      <c r="L39" s="59"/>
      <c r="M39" s="59"/>
    </row>
    <row r="40" spans="2:13" ht="15.75" customHeight="1">
      <c r="B40" s="98"/>
      <c r="C40" s="112" t="s">
        <v>78</v>
      </c>
      <c r="D40" s="103"/>
      <c r="E40" s="103"/>
      <c r="F40" s="104"/>
      <c r="G40" s="65">
        <v>198000</v>
      </c>
      <c r="L40" s="59"/>
      <c r="M40" s="59"/>
    </row>
    <row r="41" spans="2:13" ht="15.75" customHeight="1">
      <c r="B41" s="98"/>
      <c r="C41" s="112"/>
      <c r="D41" s="103"/>
      <c r="E41" s="103"/>
      <c r="F41" s="104"/>
      <c r="G41" s="66"/>
    </row>
    <row r="42" spans="2:13" ht="15.75" customHeight="1">
      <c r="B42" s="98"/>
      <c r="C42" s="112"/>
      <c r="D42" s="103"/>
      <c r="E42" s="103"/>
      <c r="F42" s="104"/>
      <c r="G42" s="67"/>
    </row>
    <row r="43" spans="2:13" ht="15.75" customHeight="1">
      <c r="B43" s="98"/>
      <c r="C43" s="112"/>
      <c r="D43" s="103"/>
      <c r="E43" s="103"/>
      <c r="F43" s="104"/>
      <c r="G43" s="66"/>
    </row>
    <row r="44" spans="2:13" ht="15.75" customHeight="1">
      <c r="B44" s="98"/>
      <c r="C44" s="112"/>
      <c r="D44" s="103"/>
      <c r="E44" s="103"/>
      <c r="F44" s="104"/>
      <c r="G44" s="67"/>
    </row>
    <row r="45" spans="2:13" ht="15.75" customHeight="1">
      <c r="B45" s="99"/>
      <c r="C45" s="112" t="s">
        <v>50</v>
      </c>
      <c r="D45" s="103"/>
      <c r="E45" s="103"/>
      <c r="F45" s="104"/>
      <c r="G45" s="67">
        <v>0</v>
      </c>
    </row>
    <row r="46" spans="2:13" ht="15.75" customHeight="1">
      <c r="C46" s="123" t="s">
        <v>50</v>
      </c>
      <c r="D46" s="103"/>
      <c r="E46" s="103"/>
      <c r="F46" s="104"/>
      <c r="G46" s="83">
        <f>SUM(G39:G45)</f>
        <v>558000</v>
      </c>
    </row>
    <row r="47" spans="2:13" ht="15.75" customHeight="1"/>
    <row r="48" spans="2:13" ht="15.75" customHeight="1">
      <c r="B48" s="68" t="s">
        <v>52</v>
      </c>
      <c r="C48" s="100" t="s">
        <v>53</v>
      </c>
      <c r="D48" s="101"/>
      <c r="E48" s="101"/>
      <c r="F48" s="101"/>
    </row>
    <row r="49" spans="2:10" ht="15.75" customHeight="1">
      <c r="B49" s="68" t="s">
        <v>54</v>
      </c>
      <c r="C49" s="100" t="s">
        <v>55</v>
      </c>
      <c r="D49" s="101"/>
      <c r="E49" s="101"/>
      <c r="F49" s="101"/>
    </row>
    <row r="50" spans="2:10" ht="15.75" customHeight="1">
      <c r="C50" s="69"/>
    </row>
    <row r="51" spans="2:10" ht="15.75" customHeight="1"/>
    <row r="52" spans="2:10" ht="15.75" customHeight="1">
      <c r="B52" s="127" t="s">
        <v>79</v>
      </c>
      <c r="C52" s="101"/>
      <c r="D52" s="101"/>
      <c r="E52" s="101"/>
      <c r="F52" s="101"/>
      <c r="G52" s="101"/>
      <c r="H52" s="101"/>
      <c r="I52" s="101"/>
      <c r="J52" s="101"/>
    </row>
    <row r="53" spans="2:10" ht="15.75" customHeight="1">
      <c r="B53" s="124"/>
      <c r="C53" s="101"/>
      <c r="D53" s="101"/>
      <c r="E53" s="101"/>
      <c r="F53" s="101"/>
      <c r="G53" s="101"/>
      <c r="H53" s="101"/>
      <c r="I53" s="101"/>
      <c r="J53" s="101"/>
    </row>
    <row r="54" spans="2:10" ht="15.75" customHeight="1"/>
    <row r="55" spans="2:10" ht="15.75" customHeight="1">
      <c r="B55" t="s">
        <v>80</v>
      </c>
      <c r="C55" s="84">
        <v>360</v>
      </c>
    </row>
    <row r="56" spans="2:10" ht="15.75" customHeight="1">
      <c r="B56" t="s">
        <v>81</v>
      </c>
      <c r="C56" s="85">
        <v>0.15</v>
      </c>
    </row>
    <row r="57" spans="2:10" ht="15.75" customHeight="1">
      <c r="B57" t="s">
        <v>82</v>
      </c>
      <c r="C57" s="86">
        <f>C55*C56</f>
        <v>54</v>
      </c>
    </row>
    <row r="58" spans="2:10" ht="15.75" customHeight="1">
      <c r="B58" t="s">
        <v>83</v>
      </c>
      <c r="C58" s="85">
        <v>0.8</v>
      </c>
    </row>
    <row r="59" spans="2:10" ht="15.75" customHeight="1">
      <c r="B59" t="s">
        <v>84</v>
      </c>
      <c r="C59" s="86">
        <f>C57*C58</f>
        <v>43.2</v>
      </c>
    </row>
    <row r="60" spans="2:10" ht="15.75" customHeight="1">
      <c r="B60" t="s">
        <v>85</v>
      </c>
      <c r="C60" s="87">
        <v>3</v>
      </c>
    </row>
    <row r="61" spans="2:10" ht="15.75" customHeight="1">
      <c r="B61" t="s">
        <v>86</v>
      </c>
      <c r="C61" s="85">
        <v>0.33</v>
      </c>
    </row>
    <row r="62" spans="2:10" ht="15.75" customHeight="1">
      <c r="B62" t="s">
        <v>87</v>
      </c>
      <c r="C62" s="88">
        <f>C60*C61</f>
        <v>0.99</v>
      </c>
    </row>
    <row r="63" spans="2:10" ht="15.75" customHeight="1">
      <c r="B63" t="s">
        <v>88</v>
      </c>
      <c r="C63" s="89">
        <v>5000000</v>
      </c>
    </row>
    <row r="64" spans="2:10" ht="15.75" customHeight="1">
      <c r="B64" t="s">
        <v>89</v>
      </c>
      <c r="C64" s="89">
        <v>10000000</v>
      </c>
    </row>
    <row r="65" spans="2:10" ht="15.75" customHeight="1"/>
    <row r="66" spans="2:10" ht="15.75" customHeight="1">
      <c r="B66" s="90" t="s">
        <v>90</v>
      </c>
      <c r="C66" s="91">
        <f>C59*C63*C62</f>
        <v>213840000</v>
      </c>
    </row>
    <row r="67" spans="2:10" ht="15.75" customHeight="1">
      <c r="B67" s="90" t="s">
        <v>91</v>
      </c>
      <c r="C67" s="91">
        <f>C59*C64*C62</f>
        <v>427680000</v>
      </c>
    </row>
    <row r="68" spans="2:10" ht="15.75" customHeight="1"/>
    <row r="69" spans="2:10" ht="15.75" customHeight="1">
      <c r="B69" s="126"/>
      <c r="C69" s="101"/>
      <c r="D69" s="101"/>
      <c r="E69" s="101"/>
      <c r="F69" s="101"/>
      <c r="G69" s="101"/>
      <c r="H69" s="101"/>
      <c r="I69" s="101"/>
      <c r="J69" s="101"/>
    </row>
    <row r="70" spans="2:10" ht="15.75" customHeight="1">
      <c r="B70" s="101"/>
      <c r="C70" s="101"/>
      <c r="D70" s="101"/>
      <c r="E70" s="101"/>
      <c r="F70" s="101"/>
      <c r="G70" s="101"/>
      <c r="H70" s="101"/>
      <c r="I70" s="101"/>
      <c r="J70" s="101"/>
    </row>
    <row r="71" spans="2:10" ht="15.75" customHeight="1"/>
    <row r="72" spans="2:10" ht="15.75" customHeight="1">
      <c r="B72" t="s">
        <v>92</v>
      </c>
      <c r="C72" s="92">
        <f>G21/3</f>
        <v>1638000</v>
      </c>
    </row>
    <row r="73" spans="2:10" ht="15.75" customHeight="1">
      <c r="B73" t="s">
        <v>93</v>
      </c>
      <c r="C73" s="93">
        <f>IFERROR(C66/C72,"N/A")</f>
        <v>130.54945054945054</v>
      </c>
    </row>
    <row r="74" spans="2:10" ht="15.75" customHeight="1">
      <c r="B74" t="s">
        <v>94</v>
      </c>
      <c r="C74" s="93">
        <f>IFERROR(C67/C72,"N/A")</f>
        <v>261.09890109890108</v>
      </c>
    </row>
    <row r="75" spans="2:10" ht="15.75" customHeight="1"/>
    <row r="76" spans="2:10" ht="15.75" customHeight="1"/>
    <row r="77" spans="2:10" ht="15.75" customHeight="1"/>
    <row r="78" spans="2:10" ht="15.75" customHeight="1"/>
    <row r="79" spans="2:10" ht="15.75" customHeight="1"/>
    <row r="80" spans="2:1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37">
    <mergeCell ref="B69:J70"/>
    <mergeCell ref="C44:F44"/>
    <mergeCell ref="C40:F40"/>
    <mergeCell ref="C31:F31"/>
    <mergeCell ref="C5:E5"/>
    <mergeCell ref="C43:F43"/>
    <mergeCell ref="C46:F46"/>
    <mergeCell ref="C27:F27"/>
    <mergeCell ref="B52:J52"/>
    <mergeCell ref="Q5:U5"/>
    <mergeCell ref="C30:F30"/>
    <mergeCell ref="L5:M5"/>
    <mergeCell ref="C33:F33"/>
    <mergeCell ref="C42:F42"/>
    <mergeCell ref="L17:P18"/>
    <mergeCell ref="C35:F35"/>
    <mergeCell ref="C26:F26"/>
    <mergeCell ref="C29:F29"/>
    <mergeCell ref="I5:J5"/>
    <mergeCell ref="C25:F25"/>
    <mergeCell ref="C41:F41"/>
    <mergeCell ref="B1:J1"/>
    <mergeCell ref="L19:M19"/>
    <mergeCell ref="B53:J53"/>
    <mergeCell ref="C32:F32"/>
    <mergeCell ref="C28:F28"/>
    <mergeCell ref="C49:F49"/>
    <mergeCell ref="B25:B34"/>
    <mergeCell ref="C34:F34"/>
    <mergeCell ref="C45:F45"/>
    <mergeCell ref="B4:G4"/>
    <mergeCell ref="B2:J2"/>
    <mergeCell ref="B39:B45"/>
    <mergeCell ref="C48:F48"/>
    <mergeCell ref="Q16:U16"/>
    <mergeCell ref="C39:F39"/>
    <mergeCell ref="B15:E1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1008"/>
  <sheetViews>
    <sheetView zoomScale="70" zoomScaleNormal="70" workbookViewId="0">
      <selection activeCell="J28" sqref="J28"/>
    </sheetView>
  </sheetViews>
  <sheetFormatPr baseColWidth="10" defaultColWidth="14.453125" defaultRowHeight="15" customHeight="1"/>
  <cols>
    <col min="1" max="1" width="10.7265625" customWidth="1"/>
    <col min="2" max="2" width="21.453125" customWidth="1"/>
    <col min="3" max="3" width="14.26953125" customWidth="1"/>
    <col min="4" max="4" width="17.54296875" customWidth="1"/>
    <col min="5" max="5" width="20.1796875" customWidth="1"/>
    <col min="6" max="6" width="12.81640625" customWidth="1"/>
    <col min="7" max="7" width="14.26953125" customWidth="1"/>
    <col min="9" max="9" width="14.26953125" customWidth="1"/>
    <col min="10" max="10" width="13.7265625" customWidth="1"/>
    <col min="11" max="11" width="12.1796875" customWidth="1"/>
    <col min="12" max="12" width="24.1796875" customWidth="1"/>
    <col min="13" max="13" width="12.453125" customWidth="1"/>
    <col min="14" max="14" width="4.81640625" customWidth="1"/>
    <col min="15" max="16" width="10.7265625" customWidth="1"/>
    <col min="17" max="17" width="32.54296875" customWidth="1"/>
    <col min="18" max="18" width="19" customWidth="1"/>
    <col min="19" max="19" width="17.1796875" customWidth="1"/>
    <col min="20" max="20" width="11.54296875" customWidth="1"/>
    <col min="21" max="21" width="6" customWidth="1"/>
    <col min="22" max="26" width="10.7265625" customWidth="1"/>
  </cols>
  <sheetData>
    <row r="1" spans="2:21" ht="15" customHeight="1">
      <c r="B1" s="109" t="s">
        <v>0</v>
      </c>
      <c r="C1" s="101"/>
      <c r="D1" s="101"/>
      <c r="E1" s="101"/>
      <c r="F1" s="101"/>
      <c r="G1" s="101"/>
      <c r="H1" s="101"/>
      <c r="I1" s="101"/>
      <c r="J1" s="101"/>
    </row>
    <row r="2" spans="2:21" ht="15" customHeight="1">
      <c r="B2" s="109" t="s">
        <v>95</v>
      </c>
      <c r="C2" s="101"/>
      <c r="D2" s="101"/>
      <c r="E2" s="101"/>
      <c r="F2" s="101"/>
      <c r="G2" s="101"/>
      <c r="H2" s="101"/>
      <c r="I2" s="101"/>
      <c r="J2" s="101"/>
    </row>
    <row r="3" spans="2:21" ht="15" customHeight="1">
      <c r="B3" s="1"/>
      <c r="C3" s="1"/>
      <c r="D3" s="1"/>
      <c r="E3" s="1"/>
      <c r="F3" s="1"/>
      <c r="G3" s="1"/>
      <c r="H3" s="1"/>
      <c r="I3" s="1"/>
    </row>
    <row r="4" spans="2:21" ht="15" customHeight="1">
      <c r="B4" s="119" t="s">
        <v>1</v>
      </c>
      <c r="C4" s="101"/>
      <c r="D4" s="101"/>
      <c r="E4" s="101"/>
      <c r="F4" s="101"/>
      <c r="G4" s="101"/>
    </row>
    <row r="5" spans="2:21" ht="14.5" customHeight="1">
      <c r="C5" s="120" t="s">
        <v>2</v>
      </c>
      <c r="D5" s="121"/>
      <c r="E5" s="122"/>
      <c r="F5" s="2"/>
      <c r="G5" s="2"/>
      <c r="I5" s="110" t="s">
        <v>3</v>
      </c>
      <c r="J5" s="111"/>
      <c r="L5" s="114" t="s">
        <v>4</v>
      </c>
      <c r="M5" s="115"/>
      <c r="N5" s="2"/>
      <c r="Q5" s="102" t="s">
        <v>5</v>
      </c>
      <c r="R5" s="103"/>
      <c r="S5" s="103"/>
      <c r="T5" s="103"/>
      <c r="U5" s="104"/>
    </row>
    <row r="6" spans="2:21" ht="15.75" customHeight="1">
      <c r="C6" s="3" t="s">
        <v>6</v>
      </c>
      <c r="D6" s="4" t="s">
        <v>7</v>
      </c>
      <c r="E6" s="5" t="s">
        <v>8</v>
      </c>
      <c r="F6" s="6"/>
      <c r="G6" s="6"/>
      <c r="I6" s="72" t="s">
        <v>9</v>
      </c>
      <c r="J6" s="73">
        <f>C17</f>
        <v>12540000</v>
      </c>
      <c r="K6" s="7"/>
      <c r="L6" s="8" t="s">
        <v>10</v>
      </c>
      <c r="M6" s="9">
        <f>(J6*-1)-M21</f>
        <v>-12540000</v>
      </c>
      <c r="Q6" s="10" t="s">
        <v>11</v>
      </c>
      <c r="R6" s="11" t="s">
        <v>12</v>
      </c>
      <c r="S6" s="11" t="s">
        <v>13</v>
      </c>
      <c r="T6" s="12" t="s">
        <v>14</v>
      </c>
      <c r="U6" s="11" t="s">
        <v>15</v>
      </c>
    </row>
    <row r="7" spans="2:21" ht="14.5" customHeight="1">
      <c r="B7" s="13" t="s">
        <v>16</v>
      </c>
      <c r="C7" s="14">
        <v>0</v>
      </c>
      <c r="D7" s="14">
        <v>0</v>
      </c>
      <c r="E7" s="15">
        <v>0</v>
      </c>
      <c r="F7" s="16"/>
      <c r="G7" s="16"/>
      <c r="I7" s="17" t="s">
        <v>17</v>
      </c>
      <c r="J7" s="18">
        <v>0</v>
      </c>
      <c r="K7" s="7"/>
      <c r="L7" s="19" t="s">
        <v>18</v>
      </c>
      <c r="M7" s="20">
        <f>+C23</f>
        <v>-3096000</v>
      </c>
      <c r="Q7" s="21" t="s">
        <v>96</v>
      </c>
      <c r="R7" s="21" t="s">
        <v>97</v>
      </c>
      <c r="S7" s="22">
        <v>1900000</v>
      </c>
      <c r="T7" s="23">
        <v>10795</v>
      </c>
      <c r="U7" s="21" t="s">
        <v>15</v>
      </c>
    </row>
    <row r="8" spans="2:21" ht="14.5" customHeight="1">
      <c r="B8" s="24" t="s">
        <v>19</v>
      </c>
      <c r="C8" s="25">
        <v>0</v>
      </c>
      <c r="D8" s="25">
        <v>0</v>
      </c>
      <c r="E8" s="26">
        <v>0</v>
      </c>
      <c r="F8" s="16"/>
      <c r="G8" s="16"/>
      <c r="I8" s="70" t="s">
        <v>20</v>
      </c>
      <c r="J8" s="71">
        <v>0</v>
      </c>
      <c r="K8" s="7"/>
      <c r="L8" s="19" t="s">
        <v>21</v>
      </c>
      <c r="M8" s="20">
        <f>+D23</f>
        <v>-5604000</v>
      </c>
      <c r="Q8" s="21" t="s">
        <v>98</v>
      </c>
      <c r="R8" s="21" t="s">
        <v>99</v>
      </c>
      <c r="S8" s="22">
        <v>1800000</v>
      </c>
      <c r="T8" s="23">
        <v>10227</v>
      </c>
      <c r="U8" s="21" t="s">
        <v>15</v>
      </c>
    </row>
    <row r="9" spans="2:21" ht="14.5" customHeight="1">
      <c r="B9" s="24" t="s">
        <v>22</v>
      </c>
      <c r="C9" s="25">
        <v>0</v>
      </c>
      <c r="D9" s="25">
        <v>0</v>
      </c>
      <c r="E9" s="26">
        <v>0</v>
      </c>
      <c r="F9" s="16"/>
      <c r="G9" s="16"/>
      <c r="I9" s="17" t="s">
        <v>17</v>
      </c>
      <c r="J9" s="27">
        <v>0</v>
      </c>
      <c r="K9" s="7"/>
      <c r="L9" s="19" t="s">
        <v>23</v>
      </c>
      <c r="M9" s="20">
        <f>+E23</f>
        <v>-5604000</v>
      </c>
      <c r="Q9" s="21" t="s">
        <v>100</v>
      </c>
      <c r="R9" s="21" t="s">
        <v>101</v>
      </c>
      <c r="S9" s="22">
        <v>480000</v>
      </c>
      <c r="T9" s="23">
        <v>2727</v>
      </c>
      <c r="U9" s="21" t="s">
        <v>15</v>
      </c>
    </row>
    <row r="10" spans="2:21" ht="14.5" customHeight="1">
      <c r="B10" s="28" t="s">
        <v>59</v>
      </c>
      <c r="C10" s="25">
        <f>C17</f>
        <v>12540000</v>
      </c>
      <c r="D10" s="25">
        <v>0</v>
      </c>
      <c r="E10" s="26">
        <v>0</v>
      </c>
      <c r="F10" s="16"/>
      <c r="G10" s="29"/>
      <c r="I10" s="17"/>
      <c r="J10" s="27"/>
      <c r="K10" s="7"/>
      <c r="L10" s="94" t="s">
        <v>60</v>
      </c>
      <c r="M10" s="95">
        <f>C66</f>
        <v>272160000</v>
      </c>
      <c r="Q10" s="30"/>
      <c r="R10" s="30"/>
      <c r="S10" s="30">
        <v>0</v>
      </c>
      <c r="T10" s="30">
        <v>0</v>
      </c>
      <c r="U10" s="30"/>
    </row>
    <row r="11" spans="2:21" ht="14.5" customHeight="1">
      <c r="B11" s="31" t="s">
        <v>61</v>
      </c>
      <c r="C11" s="32">
        <v>0</v>
      </c>
      <c r="D11" s="32"/>
      <c r="E11" s="33">
        <v>0</v>
      </c>
      <c r="F11" s="16"/>
      <c r="G11" s="29"/>
      <c r="I11" s="17"/>
      <c r="J11" s="27"/>
      <c r="K11" s="7"/>
      <c r="L11" s="94" t="s">
        <v>62</v>
      </c>
      <c r="M11" s="95">
        <f>C67</f>
        <v>544320000</v>
      </c>
      <c r="Q11" s="30"/>
      <c r="R11" s="30"/>
      <c r="S11" s="30"/>
      <c r="T11" s="30"/>
      <c r="U11" s="30"/>
    </row>
    <row r="12" spans="2:21" ht="14.5" customHeight="1">
      <c r="B12" s="31" t="s">
        <v>24</v>
      </c>
      <c r="C12" s="32">
        <f>SUM(C7:C11)</f>
        <v>12540000</v>
      </c>
      <c r="D12" s="32">
        <f>SUM(D7:D11)</f>
        <v>0</v>
      </c>
      <c r="E12" s="33">
        <f>SUM(E7:E11)</f>
        <v>0</v>
      </c>
      <c r="G12" s="34" t="s">
        <v>1</v>
      </c>
      <c r="I12" s="17"/>
      <c r="J12" s="27"/>
      <c r="K12" s="7"/>
      <c r="L12" s="96"/>
      <c r="M12" s="20"/>
      <c r="Q12" s="30"/>
      <c r="R12" s="21" t="s">
        <v>25</v>
      </c>
      <c r="S12" s="35">
        <f>SUM(S7:S10)</f>
        <v>4180000</v>
      </c>
      <c r="T12" s="36"/>
      <c r="U12" s="30"/>
    </row>
    <row r="13" spans="2:21" ht="14.5" customHeight="1">
      <c r="B13" s="76" t="s">
        <v>26</v>
      </c>
      <c r="C13" s="77">
        <f>+C12</f>
        <v>12540000</v>
      </c>
      <c r="D13" s="77">
        <f>D12</f>
        <v>0</v>
      </c>
      <c r="E13" s="78">
        <f>E12</f>
        <v>0</v>
      </c>
      <c r="G13" s="16">
        <f>SUM(C13,D13,E13)</f>
        <v>12540000</v>
      </c>
      <c r="I13" s="74" t="s">
        <v>27</v>
      </c>
      <c r="J13" s="75">
        <v>0</v>
      </c>
      <c r="K13" s="7"/>
      <c r="L13" s="19"/>
      <c r="M13" s="19"/>
      <c r="Q13" s="30"/>
      <c r="R13" s="37" t="s">
        <v>28</v>
      </c>
      <c r="S13" s="35">
        <f>8*T7</f>
        <v>86360</v>
      </c>
      <c r="T13" s="30"/>
      <c r="U13" s="30"/>
    </row>
    <row r="14" spans="2:21" ht="14.5" customHeight="1">
      <c r="C14" s="7"/>
      <c r="D14" s="7"/>
      <c r="E14" s="7"/>
      <c r="I14" s="38" t="s">
        <v>29</v>
      </c>
      <c r="J14" s="27">
        <v>12</v>
      </c>
      <c r="K14" s="7"/>
      <c r="L14" s="19" t="s">
        <v>30</v>
      </c>
      <c r="M14" s="39">
        <v>18</v>
      </c>
      <c r="N14" s="40">
        <f>+M14/100</f>
        <v>0.18</v>
      </c>
      <c r="Q14" s="41"/>
      <c r="R14" s="21" t="s">
        <v>31</v>
      </c>
      <c r="S14" s="23">
        <f>S12*12</f>
        <v>50160000</v>
      </c>
      <c r="T14" s="30"/>
      <c r="U14" s="30"/>
    </row>
    <row r="15" spans="2:21" ht="14.5" customHeight="1">
      <c r="B15" s="106" t="s">
        <v>32</v>
      </c>
      <c r="C15" s="107"/>
      <c r="D15" s="107"/>
      <c r="E15" s="108"/>
      <c r="I15" s="38" t="s">
        <v>33</v>
      </c>
      <c r="J15" s="18">
        <f>M14/J14</f>
        <v>1.5</v>
      </c>
      <c r="K15" s="42"/>
      <c r="L15" s="19" t="s">
        <v>34</v>
      </c>
      <c r="M15" s="43">
        <f>IFERROR(NPV(N14,C23,D23,E23)-J13,"N/A")</f>
        <v>-10059201.768437864</v>
      </c>
      <c r="Q15" s="30" t="s">
        <v>63</v>
      </c>
      <c r="R15" s="30">
        <v>3</v>
      </c>
      <c r="S15" s="30"/>
      <c r="T15" s="30"/>
      <c r="U15" s="30"/>
    </row>
    <row r="16" spans="2:21" ht="14.5" customHeight="1">
      <c r="B16" s="44" t="s">
        <v>64</v>
      </c>
      <c r="C16" s="25">
        <v>0</v>
      </c>
      <c r="D16" s="25">
        <v>0</v>
      </c>
      <c r="E16" s="26">
        <v>0</v>
      </c>
      <c r="I16" s="38" t="s">
        <v>35</v>
      </c>
      <c r="J16" s="27">
        <f>(J13/J14)*J15</f>
        <v>0</v>
      </c>
      <c r="K16" s="7"/>
      <c r="L16" s="19" t="s">
        <v>36</v>
      </c>
      <c r="M16" s="45" t="str">
        <f>IFERROR(IRR(M6:M9),"N/A")</f>
        <v>N/A</v>
      </c>
      <c r="Q16" s="102" t="s">
        <v>37</v>
      </c>
      <c r="R16" s="103"/>
      <c r="S16" s="103"/>
      <c r="T16" s="103"/>
      <c r="U16" s="104"/>
    </row>
    <row r="17" spans="2:21" ht="14.5" customHeight="1">
      <c r="B17" s="44" t="s">
        <v>65</v>
      </c>
      <c r="C17" s="25">
        <f>S12*$R$15</f>
        <v>12540000</v>
      </c>
      <c r="D17" s="26">
        <v>0</v>
      </c>
      <c r="E17" s="26">
        <v>0</v>
      </c>
      <c r="I17" s="46" t="s">
        <v>38</v>
      </c>
      <c r="J17" s="47">
        <f>+J16*J14</f>
        <v>0</v>
      </c>
      <c r="K17" s="7"/>
      <c r="L17" s="125"/>
      <c r="M17" s="101"/>
      <c r="N17" s="101"/>
      <c r="O17" s="101"/>
      <c r="P17" s="101"/>
      <c r="Q17" s="10" t="s">
        <v>11</v>
      </c>
      <c r="R17" s="11" t="s">
        <v>12</v>
      </c>
      <c r="S17" s="11" t="s">
        <v>13</v>
      </c>
      <c r="T17" s="12" t="s">
        <v>14</v>
      </c>
      <c r="U17" s="11" t="s">
        <v>15</v>
      </c>
    </row>
    <row r="18" spans="2:21" ht="14.5" customHeight="1">
      <c r="B18" s="44" t="s">
        <v>66</v>
      </c>
      <c r="C18" s="25">
        <f>G33</f>
        <v>3096000</v>
      </c>
      <c r="D18" s="25">
        <f>G40</f>
        <v>3096000</v>
      </c>
      <c r="E18" s="26">
        <f>G40</f>
        <v>3096000</v>
      </c>
      <c r="L18" s="101"/>
      <c r="M18" s="101"/>
      <c r="N18" s="101"/>
      <c r="O18" s="101"/>
      <c r="P18" s="101"/>
      <c r="Q18" s="21" t="s">
        <v>67</v>
      </c>
      <c r="R18" s="21" t="s">
        <v>68</v>
      </c>
      <c r="S18" s="35">
        <v>209000</v>
      </c>
      <c r="T18" s="23">
        <v>1188</v>
      </c>
      <c r="U18" s="21" t="s">
        <v>15</v>
      </c>
    </row>
    <row r="19" spans="2:21" ht="14.5" customHeight="1">
      <c r="B19" s="44" t="s">
        <v>69</v>
      </c>
      <c r="C19" s="25">
        <v>0</v>
      </c>
      <c r="D19" s="25">
        <v>0</v>
      </c>
      <c r="E19" s="26">
        <v>0</v>
      </c>
      <c r="L19" s="110" t="s">
        <v>40</v>
      </c>
      <c r="M19" s="111"/>
      <c r="Q19" s="30"/>
      <c r="R19" s="30"/>
      <c r="S19" s="30"/>
      <c r="T19" s="30"/>
      <c r="U19" s="30"/>
    </row>
    <row r="20" spans="2:21" ht="14.5" customHeight="1">
      <c r="B20" s="44" t="s">
        <v>70</v>
      </c>
      <c r="C20" s="25">
        <v>0</v>
      </c>
      <c r="D20" s="25">
        <f>S20</f>
        <v>2508000</v>
      </c>
      <c r="E20" s="26">
        <f>S20</f>
        <v>2508000</v>
      </c>
      <c r="G20" s="34" t="s">
        <v>42</v>
      </c>
      <c r="K20" s="7"/>
      <c r="L20" s="48" t="s">
        <v>43</v>
      </c>
      <c r="M20" s="49" t="s">
        <v>44</v>
      </c>
      <c r="Q20" s="30"/>
      <c r="R20" s="21" t="s">
        <v>45</v>
      </c>
      <c r="S20" s="23">
        <f>S18*12</f>
        <v>2508000</v>
      </c>
      <c r="T20" s="30"/>
      <c r="U20" s="30"/>
    </row>
    <row r="21" spans="2:21" ht="43.5" customHeight="1">
      <c r="B21" s="50" t="s">
        <v>46</v>
      </c>
      <c r="C21" s="51">
        <f>SUM(C16:C20)</f>
        <v>15636000</v>
      </c>
      <c r="D21" s="51">
        <f>SUM(D16:D20)</f>
        <v>5604000</v>
      </c>
      <c r="E21" s="52">
        <f>SUM(E16:E20)</f>
        <v>5604000</v>
      </c>
      <c r="G21" s="16">
        <f>SUM(C21:E21)</f>
        <v>26844000</v>
      </c>
      <c r="K21" s="40"/>
      <c r="L21" s="53" t="s">
        <v>47</v>
      </c>
      <c r="M21" s="54">
        <v>0</v>
      </c>
    </row>
    <row r="22" spans="2:21" ht="14.5" customHeight="1">
      <c r="C22" s="7"/>
      <c r="D22" s="7"/>
      <c r="E22" s="7"/>
      <c r="G22" s="34" t="s">
        <v>48</v>
      </c>
      <c r="L22" s="55"/>
      <c r="M22" s="56"/>
    </row>
    <row r="23" spans="2:21" ht="14.5" customHeight="1">
      <c r="B23" s="79" t="s">
        <v>49</v>
      </c>
      <c r="C23" s="80">
        <f>+C13-C21</f>
        <v>-3096000</v>
      </c>
      <c r="D23" s="80">
        <f>+D13-D21</f>
        <v>-5604000</v>
      </c>
      <c r="E23" s="81">
        <f>+E13-E21</f>
        <v>-5604000</v>
      </c>
      <c r="G23" s="16">
        <f>+G13-G21</f>
        <v>-14304000</v>
      </c>
      <c r="L23" s="57"/>
      <c r="M23" s="58"/>
    </row>
    <row r="24" spans="2:21" ht="15.75" customHeight="1">
      <c r="L24" s="59"/>
      <c r="M24" s="59"/>
    </row>
    <row r="25" spans="2:21" ht="15.75" customHeight="1">
      <c r="B25" s="97" t="s">
        <v>41</v>
      </c>
      <c r="C25" s="105" t="s">
        <v>102</v>
      </c>
      <c r="D25" s="103"/>
      <c r="E25" s="103"/>
      <c r="F25" s="104"/>
      <c r="G25" s="60">
        <v>1140000</v>
      </c>
      <c r="I25" t="s">
        <v>39</v>
      </c>
      <c r="L25" s="59"/>
      <c r="M25" s="59"/>
    </row>
    <row r="26" spans="2:21" ht="15.75" customHeight="1">
      <c r="B26" s="98"/>
      <c r="C26" s="105" t="s">
        <v>103</v>
      </c>
      <c r="D26" s="103"/>
      <c r="E26" s="103"/>
      <c r="F26" s="104"/>
      <c r="G26" s="60">
        <v>540000</v>
      </c>
      <c r="L26" s="59"/>
      <c r="M26" s="59"/>
    </row>
    <row r="27" spans="2:21" ht="15.75" customHeight="1">
      <c r="B27" s="98"/>
      <c r="C27" s="105" t="s">
        <v>104</v>
      </c>
      <c r="D27" s="103"/>
      <c r="E27" s="103"/>
      <c r="F27" s="104"/>
      <c r="G27" s="60">
        <v>96000</v>
      </c>
      <c r="L27" s="59"/>
      <c r="M27" s="59"/>
    </row>
    <row r="28" spans="2:21" ht="15.75" customHeight="1">
      <c r="B28" s="98"/>
      <c r="C28" s="112" t="s">
        <v>105</v>
      </c>
      <c r="D28" s="103"/>
      <c r="E28" s="103"/>
      <c r="F28" s="104"/>
      <c r="G28" s="60">
        <v>960000</v>
      </c>
      <c r="L28" s="59"/>
      <c r="M28" s="59"/>
    </row>
    <row r="29" spans="2:21" ht="15.75" customHeight="1">
      <c r="B29" s="98"/>
      <c r="C29" s="112" t="s">
        <v>106</v>
      </c>
      <c r="D29" s="103"/>
      <c r="E29" s="103"/>
      <c r="F29" s="104"/>
      <c r="G29" s="61">
        <v>360000</v>
      </c>
      <c r="L29" s="59"/>
      <c r="M29" s="59"/>
    </row>
    <row r="30" spans="2:21" ht="15.75" customHeight="1">
      <c r="B30" s="98"/>
      <c r="C30" s="112"/>
      <c r="D30" s="103"/>
      <c r="E30" s="103"/>
      <c r="F30" s="104"/>
      <c r="G30" s="62"/>
      <c r="L30" s="59"/>
      <c r="M30" s="59"/>
    </row>
    <row r="31" spans="2:21" ht="15.75" customHeight="1">
      <c r="B31" s="98"/>
      <c r="C31" s="112"/>
      <c r="D31" s="103"/>
      <c r="E31" s="103"/>
      <c r="F31" s="104"/>
      <c r="G31" s="61"/>
      <c r="L31" s="59"/>
      <c r="M31" s="59"/>
    </row>
    <row r="32" spans="2:21" ht="15.75" customHeight="1">
      <c r="B32" s="98"/>
      <c r="C32" s="112"/>
      <c r="D32" s="103"/>
      <c r="E32" s="103"/>
      <c r="F32" s="104"/>
      <c r="G32" s="62"/>
      <c r="L32" s="59"/>
      <c r="M32" s="59"/>
    </row>
    <row r="33" spans="2:13" ht="15.75" customHeight="1">
      <c r="B33" s="98"/>
      <c r="C33" s="112" t="s">
        <v>50</v>
      </c>
      <c r="D33" s="103"/>
      <c r="E33" s="103"/>
      <c r="F33" s="104"/>
      <c r="G33" s="62">
        <f>SUM(G25:G29)</f>
        <v>3096000</v>
      </c>
      <c r="L33" s="59"/>
      <c r="M33" s="59"/>
    </row>
    <row r="34" spans="2:13" ht="15.75" customHeight="1">
      <c r="B34" s="99"/>
      <c r="C34" s="113" t="s">
        <v>76</v>
      </c>
      <c r="D34" s="103"/>
      <c r="E34" s="103"/>
      <c r="F34" s="104"/>
      <c r="G34" s="62">
        <v>0</v>
      </c>
      <c r="L34" s="59"/>
      <c r="M34" s="59"/>
    </row>
    <row r="35" spans="2:13" ht="15.75" customHeight="1">
      <c r="C35" s="116" t="s">
        <v>50</v>
      </c>
      <c r="D35" s="117"/>
      <c r="E35" s="117"/>
      <c r="F35" s="118"/>
      <c r="G35" s="82">
        <f>SUM(G25:G34)</f>
        <v>6192000</v>
      </c>
      <c r="L35" s="59"/>
      <c r="M35" s="59"/>
    </row>
    <row r="36" spans="2:13" ht="15.75" customHeight="1">
      <c r="C36" s="63"/>
      <c r="D36" s="63"/>
      <c r="E36" s="63"/>
      <c r="F36" s="63"/>
      <c r="G36" s="64"/>
      <c r="L36" s="59"/>
      <c r="M36" s="59"/>
    </row>
    <row r="37" spans="2:13" ht="15.75" customHeight="1">
      <c r="C37" s="63"/>
      <c r="D37" s="63"/>
      <c r="E37" s="63"/>
      <c r="F37" s="63"/>
      <c r="G37" s="64"/>
      <c r="L37" s="59"/>
      <c r="M37" s="59"/>
    </row>
    <row r="38" spans="2:13" ht="15.75" customHeight="1">
      <c r="C38" s="63"/>
      <c r="D38" s="63"/>
      <c r="E38" s="63"/>
      <c r="F38" s="63"/>
      <c r="G38" s="64"/>
      <c r="L38" s="59"/>
      <c r="M38" s="59"/>
    </row>
    <row r="39" spans="2:13" ht="15.75" customHeight="1">
      <c r="B39" s="97" t="s">
        <v>51</v>
      </c>
      <c r="C39" s="105" t="s">
        <v>77</v>
      </c>
      <c r="D39" s="103"/>
      <c r="E39" s="103"/>
      <c r="F39" s="104"/>
      <c r="G39" s="65">
        <v>2508000</v>
      </c>
      <c r="L39" s="59"/>
      <c r="M39" s="59"/>
    </row>
    <row r="40" spans="2:13" ht="15.75" customHeight="1">
      <c r="B40" s="98"/>
      <c r="C40" s="112" t="s">
        <v>78</v>
      </c>
      <c r="D40" s="103"/>
      <c r="E40" s="103"/>
      <c r="F40" s="104"/>
      <c r="G40" s="65">
        <v>3096000</v>
      </c>
      <c r="L40" s="59"/>
      <c r="M40" s="59"/>
    </row>
    <row r="41" spans="2:13" ht="15.75" customHeight="1">
      <c r="B41" s="98"/>
      <c r="C41" s="112"/>
      <c r="D41" s="103"/>
      <c r="E41" s="103"/>
      <c r="F41" s="104"/>
      <c r="G41" s="66"/>
    </row>
    <row r="42" spans="2:13" ht="15.75" customHeight="1">
      <c r="B42" s="98"/>
      <c r="C42" s="112"/>
      <c r="D42" s="103"/>
      <c r="E42" s="103"/>
      <c r="F42" s="104"/>
      <c r="G42" s="67"/>
    </row>
    <row r="43" spans="2:13" ht="15.75" customHeight="1">
      <c r="B43" s="98"/>
      <c r="C43" s="112"/>
      <c r="D43" s="103"/>
      <c r="E43" s="103"/>
      <c r="F43" s="104"/>
      <c r="G43" s="66"/>
    </row>
    <row r="44" spans="2:13" ht="15.75" customHeight="1">
      <c r="B44" s="98"/>
      <c r="C44" s="112"/>
      <c r="D44" s="103"/>
      <c r="E44" s="103"/>
      <c r="F44" s="104"/>
      <c r="G44" s="67"/>
    </row>
    <row r="45" spans="2:13" ht="15.75" customHeight="1">
      <c r="B45" s="99"/>
      <c r="C45" s="112" t="s">
        <v>50</v>
      </c>
      <c r="D45" s="103"/>
      <c r="E45" s="103"/>
      <c r="F45" s="104"/>
      <c r="G45" s="67">
        <v>0</v>
      </c>
    </row>
    <row r="46" spans="2:13" ht="15.75" customHeight="1">
      <c r="C46" s="123" t="s">
        <v>50</v>
      </c>
      <c r="D46" s="103"/>
      <c r="E46" s="103"/>
      <c r="F46" s="104"/>
      <c r="G46" s="83">
        <f>SUM(G39:G45)</f>
        <v>5604000</v>
      </c>
    </row>
    <row r="47" spans="2:13" ht="15.75" customHeight="1"/>
    <row r="48" spans="2:13" ht="15.75" customHeight="1">
      <c r="B48" s="68" t="s">
        <v>52</v>
      </c>
      <c r="C48" s="100" t="s">
        <v>53</v>
      </c>
      <c r="D48" s="101"/>
      <c r="E48" s="101"/>
      <c r="F48" s="101"/>
    </row>
    <row r="49" spans="2:10" ht="15.75" customHeight="1">
      <c r="B49" s="68" t="s">
        <v>54</v>
      </c>
      <c r="C49" s="100" t="s">
        <v>55</v>
      </c>
      <c r="D49" s="101"/>
      <c r="E49" s="101"/>
      <c r="F49" s="101"/>
    </row>
    <row r="50" spans="2:10" ht="15.75" customHeight="1">
      <c r="C50" s="69"/>
    </row>
    <row r="51" spans="2:10" ht="15.75" customHeight="1"/>
    <row r="52" spans="2:10" ht="15.75" customHeight="1">
      <c r="B52" s="127" t="s">
        <v>79</v>
      </c>
      <c r="C52" s="101"/>
      <c r="D52" s="101"/>
      <c r="E52" s="101"/>
      <c r="F52" s="101"/>
      <c r="G52" s="101"/>
      <c r="H52" s="101"/>
      <c r="I52" s="101"/>
      <c r="J52" s="101"/>
    </row>
    <row r="53" spans="2:10" ht="15.75" customHeight="1">
      <c r="B53" s="124"/>
      <c r="C53" s="101"/>
      <c r="D53" s="101"/>
      <c r="E53" s="101"/>
      <c r="F53" s="101"/>
      <c r="G53" s="101"/>
      <c r="H53" s="101"/>
      <c r="I53" s="101"/>
      <c r="J53" s="101"/>
    </row>
    <row r="54" spans="2:10" ht="15.75" customHeight="1"/>
    <row r="55" spans="2:10" ht="15.75" customHeight="1">
      <c r="B55" t="s">
        <v>80</v>
      </c>
      <c r="C55" s="84">
        <v>360</v>
      </c>
    </row>
    <row r="56" spans="2:10" ht="15.75" customHeight="1">
      <c r="B56" t="s">
        <v>81</v>
      </c>
      <c r="C56" s="85">
        <v>0.15</v>
      </c>
    </row>
    <row r="57" spans="2:10" ht="15.75" customHeight="1">
      <c r="B57" t="s">
        <v>82</v>
      </c>
      <c r="C57" s="86">
        <f>C55*C56</f>
        <v>54</v>
      </c>
    </row>
    <row r="58" spans="2:10" ht="15.75" customHeight="1">
      <c r="B58" t="s">
        <v>83</v>
      </c>
      <c r="C58" s="85">
        <v>0.8</v>
      </c>
    </row>
    <row r="59" spans="2:10" ht="15.75" customHeight="1">
      <c r="B59" t="s">
        <v>84</v>
      </c>
      <c r="C59" s="86">
        <f>C57*C58</f>
        <v>43.2</v>
      </c>
    </row>
    <row r="60" spans="2:10" ht="15.75" customHeight="1">
      <c r="B60" t="s">
        <v>85</v>
      </c>
      <c r="C60" s="87">
        <v>3</v>
      </c>
    </row>
    <row r="61" spans="2:10" ht="15.75" customHeight="1">
      <c r="B61" t="s">
        <v>86</v>
      </c>
      <c r="C61" s="85">
        <v>0.42</v>
      </c>
    </row>
    <row r="62" spans="2:10" ht="15.75" customHeight="1">
      <c r="B62" t="s">
        <v>87</v>
      </c>
      <c r="C62" s="88">
        <f>C60*C61</f>
        <v>1.26</v>
      </c>
    </row>
    <row r="63" spans="2:10" ht="15.75" customHeight="1">
      <c r="B63" t="s">
        <v>88</v>
      </c>
      <c r="C63" s="89">
        <v>5000000</v>
      </c>
    </row>
    <row r="64" spans="2:10" ht="15.75" customHeight="1">
      <c r="B64" t="s">
        <v>89</v>
      </c>
      <c r="C64" s="89">
        <v>10000000</v>
      </c>
    </row>
    <row r="65" spans="2:10" ht="15.75" customHeight="1"/>
    <row r="66" spans="2:10" ht="15.75" customHeight="1">
      <c r="B66" s="90" t="s">
        <v>90</v>
      </c>
      <c r="C66" s="91">
        <f>C59*C63*C62</f>
        <v>272160000</v>
      </c>
    </row>
    <row r="67" spans="2:10" ht="15.75" customHeight="1">
      <c r="B67" s="90" t="s">
        <v>91</v>
      </c>
      <c r="C67" s="91">
        <f>C59*C64*C62</f>
        <v>544320000</v>
      </c>
    </row>
    <row r="68" spans="2:10" ht="15.75" customHeight="1"/>
    <row r="69" spans="2:10" ht="15.75" customHeight="1">
      <c r="B69" s="126"/>
      <c r="C69" s="101"/>
      <c r="D69" s="101"/>
      <c r="E69" s="101"/>
      <c r="F69" s="101"/>
      <c r="G69" s="101"/>
      <c r="H69" s="101"/>
      <c r="I69" s="101"/>
      <c r="J69" s="101"/>
    </row>
    <row r="70" spans="2:10" ht="15.75" customHeight="1">
      <c r="B70" s="101"/>
      <c r="C70" s="101"/>
      <c r="D70" s="101"/>
      <c r="E70" s="101"/>
      <c r="F70" s="101"/>
      <c r="G70" s="101"/>
      <c r="H70" s="101"/>
      <c r="I70" s="101"/>
      <c r="J70" s="101"/>
    </row>
    <row r="71" spans="2:10" ht="15.75" customHeight="1"/>
    <row r="72" spans="2:10" ht="15.75" customHeight="1">
      <c r="B72" t="s">
        <v>92</v>
      </c>
      <c r="C72" s="92">
        <f>G21/3</f>
        <v>8948000</v>
      </c>
    </row>
    <row r="73" spans="2:10" ht="15.75" customHeight="1">
      <c r="B73" t="s">
        <v>93</v>
      </c>
      <c r="C73" s="93">
        <f>IFERROR(C66/C72,"N/A")</f>
        <v>30.415735359856953</v>
      </c>
    </row>
    <row r="74" spans="2:10" ht="15.75" customHeight="1">
      <c r="B74" t="s">
        <v>94</v>
      </c>
      <c r="C74" s="93">
        <f>IFERROR(C67/C72,"N/A")</f>
        <v>60.831470719713906</v>
      </c>
    </row>
    <row r="75" spans="2:10" ht="15.75" customHeight="1"/>
    <row r="76" spans="2:10" ht="15.75" customHeight="1"/>
    <row r="77" spans="2:10" ht="15.75" customHeight="1"/>
    <row r="78" spans="2:10" ht="15.75" customHeight="1"/>
    <row r="79" spans="2:10" ht="15.75" customHeight="1"/>
    <row r="80" spans="2:1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37">
    <mergeCell ref="B69:J70"/>
    <mergeCell ref="C44:F44"/>
    <mergeCell ref="C40:F40"/>
    <mergeCell ref="C31:F31"/>
    <mergeCell ref="C5:E5"/>
    <mergeCell ref="C43:F43"/>
    <mergeCell ref="C46:F46"/>
    <mergeCell ref="C27:F27"/>
    <mergeCell ref="B52:J52"/>
    <mergeCell ref="Q5:U5"/>
    <mergeCell ref="C30:F30"/>
    <mergeCell ref="L5:M5"/>
    <mergeCell ref="C33:F33"/>
    <mergeCell ref="C42:F42"/>
    <mergeCell ref="L17:P18"/>
    <mergeCell ref="C35:F35"/>
    <mergeCell ref="C26:F26"/>
    <mergeCell ref="C29:F29"/>
    <mergeCell ref="I5:J5"/>
    <mergeCell ref="C25:F25"/>
    <mergeCell ref="C41:F41"/>
    <mergeCell ref="B1:J1"/>
    <mergeCell ref="L19:M19"/>
    <mergeCell ref="B53:J53"/>
    <mergeCell ref="C32:F32"/>
    <mergeCell ref="C28:F28"/>
    <mergeCell ref="C49:F49"/>
    <mergeCell ref="B25:B34"/>
    <mergeCell ref="C34:F34"/>
    <mergeCell ref="C45:F45"/>
    <mergeCell ref="B4:G4"/>
    <mergeCell ref="B2:J2"/>
    <mergeCell ref="B39:B45"/>
    <mergeCell ref="C48:F48"/>
    <mergeCell ref="Q16:U16"/>
    <mergeCell ref="C39:F39"/>
    <mergeCell ref="B15:E15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1008"/>
  <sheetViews>
    <sheetView tabSelected="1" zoomScale="70" zoomScaleNormal="70" workbookViewId="0">
      <selection activeCell="M11" sqref="M11"/>
    </sheetView>
  </sheetViews>
  <sheetFormatPr baseColWidth="10" defaultColWidth="14.453125" defaultRowHeight="15" customHeight="1"/>
  <cols>
    <col min="1" max="1" width="10.7265625" customWidth="1"/>
    <col min="2" max="2" width="21.453125" customWidth="1"/>
    <col min="3" max="3" width="14.26953125" customWidth="1"/>
    <col min="4" max="4" width="17.54296875" customWidth="1"/>
    <col min="5" max="5" width="20.1796875" customWidth="1"/>
    <col min="6" max="6" width="12.81640625" customWidth="1"/>
    <col min="7" max="7" width="14.26953125" customWidth="1"/>
    <col min="9" max="9" width="14.26953125" customWidth="1"/>
    <col min="10" max="10" width="13.7265625" customWidth="1"/>
    <col min="11" max="11" width="12.1796875" customWidth="1"/>
    <col min="12" max="12" width="24.1796875" customWidth="1"/>
    <col min="13" max="13" width="12.453125" customWidth="1"/>
    <col min="14" max="14" width="4.81640625" customWidth="1"/>
    <col min="15" max="16" width="10.7265625" customWidth="1"/>
    <col min="17" max="17" width="32.54296875" customWidth="1"/>
    <col min="18" max="18" width="19" customWidth="1"/>
    <col min="19" max="19" width="17.1796875" customWidth="1"/>
    <col min="20" max="20" width="11.54296875" customWidth="1"/>
    <col min="21" max="21" width="6" customWidth="1"/>
    <col min="22" max="26" width="10.7265625" customWidth="1"/>
  </cols>
  <sheetData>
    <row r="1" spans="2:21" ht="15" customHeight="1">
      <c r="B1" s="109" t="s">
        <v>0</v>
      </c>
      <c r="C1" s="101"/>
      <c r="D1" s="101"/>
      <c r="E1" s="101"/>
      <c r="F1" s="101"/>
      <c r="G1" s="101"/>
      <c r="H1" s="101"/>
      <c r="I1" s="101"/>
      <c r="J1" s="101"/>
    </row>
    <row r="2" spans="2:21" ht="15" customHeight="1">
      <c r="B2" s="109" t="s">
        <v>107</v>
      </c>
      <c r="C2" s="101"/>
      <c r="D2" s="101"/>
      <c r="E2" s="101"/>
      <c r="F2" s="101"/>
      <c r="G2" s="101"/>
      <c r="H2" s="101"/>
      <c r="I2" s="101"/>
      <c r="J2" s="101"/>
    </row>
    <row r="3" spans="2:21" ht="15" customHeight="1">
      <c r="B3" s="1"/>
      <c r="C3" s="1"/>
      <c r="D3" s="1"/>
      <c r="E3" s="1"/>
      <c r="F3" s="1"/>
      <c r="G3" s="1"/>
      <c r="H3" s="1"/>
      <c r="I3" s="1"/>
    </row>
    <row r="4" spans="2:21" ht="15" customHeight="1">
      <c r="B4" s="119" t="s">
        <v>1</v>
      </c>
      <c r="C4" s="101"/>
      <c r="D4" s="101"/>
      <c r="E4" s="101"/>
      <c r="F4" s="101"/>
      <c r="G4" s="101"/>
    </row>
    <row r="5" spans="2:21" ht="14.5" customHeight="1">
      <c r="C5" s="120" t="s">
        <v>2</v>
      </c>
      <c r="D5" s="121"/>
      <c r="E5" s="122"/>
      <c r="F5" s="2"/>
      <c r="G5" s="2"/>
      <c r="I5" s="110" t="s">
        <v>3</v>
      </c>
      <c r="J5" s="111"/>
      <c r="L5" s="114" t="s">
        <v>4</v>
      </c>
      <c r="M5" s="115"/>
      <c r="N5" s="2"/>
      <c r="Q5" s="102" t="s">
        <v>5</v>
      </c>
      <c r="R5" s="103"/>
      <c r="S5" s="103"/>
      <c r="T5" s="103"/>
      <c r="U5" s="104"/>
    </row>
    <row r="6" spans="2:21" ht="15.75" customHeight="1">
      <c r="C6" s="3" t="s">
        <v>6</v>
      </c>
      <c r="D6" s="4" t="s">
        <v>7</v>
      </c>
      <c r="E6" s="5" t="s">
        <v>8</v>
      </c>
      <c r="F6" s="6"/>
      <c r="G6" s="6"/>
      <c r="I6" s="72" t="s">
        <v>9</v>
      </c>
      <c r="J6" s="73">
        <f>C17</f>
        <v>39720000</v>
      </c>
      <c r="K6" s="7"/>
      <c r="L6" s="8" t="s">
        <v>10</v>
      </c>
      <c r="M6" s="9">
        <f>(J6*-1)-M21</f>
        <v>-39720000</v>
      </c>
      <c r="Q6" s="10" t="s">
        <v>11</v>
      </c>
      <c r="R6" s="11" t="s">
        <v>12</v>
      </c>
      <c r="S6" s="11" t="s">
        <v>13</v>
      </c>
      <c r="T6" s="12" t="s">
        <v>14</v>
      </c>
      <c r="U6" s="11" t="s">
        <v>15</v>
      </c>
    </row>
    <row r="7" spans="2:21" ht="14.5" customHeight="1">
      <c r="B7" s="13" t="s">
        <v>16</v>
      </c>
      <c r="C7" s="14">
        <v>0</v>
      </c>
      <c r="D7" s="14">
        <v>0</v>
      </c>
      <c r="E7" s="15">
        <v>0</v>
      </c>
      <c r="F7" s="16"/>
      <c r="G7" s="16"/>
      <c r="I7" s="17" t="s">
        <v>17</v>
      </c>
      <c r="J7" s="18">
        <v>0</v>
      </c>
      <c r="K7" s="7"/>
      <c r="L7" s="19" t="s">
        <v>18</v>
      </c>
      <c r="M7" s="20">
        <f>+C23</f>
        <v>-25200000</v>
      </c>
      <c r="Q7" s="21" t="s">
        <v>108</v>
      </c>
      <c r="R7" s="21" t="s">
        <v>109</v>
      </c>
      <c r="S7" s="22">
        <v>3200000</v>
      </c>
      <c r="T7" s="23">
        <v>18182</v>
      </c>
      <c r="U7" s="21" t="s">
        <v>15</v>
      </c>
    </row>
    <row r="8" spans="2:21" ht="14.5" customHeight="1">
      <c r="B8" s="24" t="s">
        <v>19</v>
      </c>
      <c r="C8" s="25">
        <v>0</v>
      </c>
      <c r="D8" s="25">
        <v>0</v>
      </c>
      <c r="E8" s="26">
        <v>0</v>
      </c>
      <c r="F8" s="16"/>
      <c r="G8" s="16"/>
      <c r="I8" s="70" t="s">
        <v>20</v>
      </c>
      <c r="J8" s="71">
        <v>0</v>
      </c>
      <c r="K8" s="7"/>
      <c r="L8" s="19" t="s">
        <v>21</v>
      </c>
      <c r="M8" s="20">
        <f>+D23</f>
        <v>-39102000</v>
      </c>
      <c r="Q8" s="21" t="s">
        <v>110</v>
      </c>
      <c r="R8" s="21" t="s">
        <v>111</v>
      </c>
      <c r="S8" s="22">
        <v>5200000</v>
      </c>
      <c r="T8" s="23">
        <v>29545</v>
      </c>
      <c r="U8" s="21" t="s">
        <v>15</v>
      </c>
    </row>
    <row r="9" spans="2:21" ht="14.5" customHeight="1">
      <c r="B9" s="24" t="s">
        <v>22</v>
      </c>
      <c r="C9" s="25">
        <v>0</v>
      </c>
      <c r="D9" s="25">
        <v>0</v>
      </c>
      <c r="E9" s="26">
        <v>0</v>
      </c>
      <c r="F9" s="16"/>
      <c r="G9" s="16"/>
      <c r="I9" s="17" t="s">
        <v>17</v>
      </c>
      <c r="J9" s="27">
        <v>0</v>
      </c>
      <c r="K9" s="7"/>
      <c r="L9" s="19" t="s">
        <v>23</v>
      </c>
      <c r="M9" s="20">
        <f>+E23</f>
        <v>-39102000</v>
      </c>
      <c r="Q9" s="21" t="s">
        <v>112</v>
      </c>
      <c r="R9" s="21" t="s">
        <v>113</v>
      </c>
      <c r="S9" s="22">
        <v>1400000</v>
      </c>
      <c r="T9" s="23">
        <v>7955</v>
      </c>
      <c r="U9" s="21" t="s">
        <v>15</v>
      </c>
    </row>
    <row r="10" spans="2:21" ht="14.5" customHeight="1">
      <c r="B10" s="28" t="s">
        <v>59</v>
      </c>
      <c r="C10" s="25">
        <f>C17</f>
        <v>39720000</v>
      </c>
      <c r="D10" s="25">
        <v>0</v>
      </c>
      <c r="E10" s="26">
        <v>0</v>
      </c>
      <c r="F10" s="16"/>
      <c r="G10" s="29"/>
      <c r="I10" s="17"/>
      <c r="J10" s="27"/>
      <c r="K10" s="7"/>
      <c r="L10" s="94" t="s">
        <v>60</v>
      </c>
      <c r="M10" s="95">
        <f>C66</f>
        <v>324000000</v>
      </c>
      <c r="Q10" s="30" t="s">
        <v>114</v>
      </c>
      <c r="R10" s="30" t="s">
        <v>115</v>
      </c>
      <c r="S10" s="30">
        <v>3440000</v>
      </c>
      <c r="T10" s="30">
        <v>19545</v>
      </c>
      <c r="U10" s="30" t="s">
        <v>15</v>
      </c>
    </row>
    <row r="11" spans="2:21" ht="14.5" customHeight="1">
      <c r="B11" s="31" t="s">
        <v>61</v>
      </c>
      <c r="C11" s="32">
        <v>0</v>
      </c>
      <c r="D11" s="32"/>
      <c r="E11" s="33">
        <v>0</v>
      </c>
      <c r="F11" s="16"/>
      <c r="G11" s="29"/>
      <c r="I11" s="17"/>
      <c r="J11" s="27"/>
      <c r="K11" s="7"/>
      <c r="L11" s="94" t="s">
        <v>62</v>
      </c>
      <c r="M11" s="95">
        <f>C67</f>
        <v>648000000</v>
      </c>
      <c r="Q11" s="30"/>
      <c r="R11" s="30"/>
      <c r="S11" s="30"/>
      <c r="T11" s="30"/>
      <c r="U11" s="30"/>
    </row>
    <row r="12" spans="2:21" ht="14.5" customHeight="1">
      <c r="B12" s="31" t="s">
        <v>24</v>
      </c>
      <c r="C12" s="32">
        <f>SUM(C7:C11)</f>
        <v>39720000</v>
      </c>
      <c r="D12" s="32">
        <f>SUM(D7:D11)</f>
        <v>0</v>
      </c>
      <c r="E12" s="33">
        <f>SUM(E7:E11)</f>
        <v>0</v>
      </c>
      <c r="G12" s="34" t="s">
        <v>1</v>
      </c>
      <c r="I12" s="17"/>
      <c r="J12" s="27"/>
      <c r="K12" s="7"/>
      <c r="L12" s="96"/>
      <c r="M12" s="20"/>
      <c r="Q12" s="30"/>
      <c r="R12" s="21" t="s">
        <v>25</v>
      </c>
      <c r="S12" s="35">
        <f>SUM(S7:S10)</f>
        <v>13240000</v>
      </c>
      <c r="T12" s="36"/>
      <c r="U12" s="30"/>
    </row>
    <row r="13" spans="2:21" ht="14.5" customHeight="1">
      <c r="B13" s="76" t="s">
        <v>26</v>
      </c>
      <c r="C13" s="77">
        <f>+C12</f>
        <v>39720000</v>
      </c>
      <c r="D13" s="77">
        <f>D12</f>
        <v>0</v>
      </c>
      <c r="E13" s="78">
        <f>E12</f>
        <v>0</v>
      </c>
      <c r="G13" s="16">
        <f>SUM(C13,D13,E13)</f>
        <v>39720000</v>
      </c>
      <c r="I13" s="74" t="s">
        <v>27</v>
      </c>
      <c r="J13" s="75">
        <v>0</v>
      </c>
      <c r="K13" s="7"/>
      <c r="L13" s="19"/>
      <c r="M13" s="19"/>
      <c r="Q13" s="30"/>
      <c r="R13" s="37" t="s">
        <v>28</v>
      </c>
      <c r="S13" s="35">
        <f>8*T7</f>
        <v>145456</v>
      </c>
      <c r="T13" s="30"/>
      <c r="U13" s="30"/>
    </row>
    <row r="14" spans="2:21" ht="14.5" customHeight="1">
      <c r="C14" s="7"/>
      <c r="D14" s="7"/>
      <c r="E14" s="7"/>
      <c r="I14" s="38" t="s">
        <v>29</v>
      </c>
      <c r="J14" s="27">
        <v>12</v>
      </c>
      <c r="K14" s="7"/>
      <c r="L14" s="19" t="s">
        <v>30</v>
      </c>
      <c r="M14" s="39">
        <v>18</v>
      </c>
      <c r="N14" s="40">
        <f>+M14/100</f>
        <v>0.18</v>
      </c>
      <c r="Q14" s="41"/>
      <c r="R14" s="21" t="s">
        <v>31</v>
      </c>
      <c r="S14" s="23">
        <f>S12*12</f>
        <v>158880000</v>
      </c>
      <c r="T14" s="30"/>
      <c r="U14" s="30"/>
    </row>
    <row r="15" spans="2:21" ht="14.5" customHeight="1">
      <c r="B15" s="106" t="s">
        <v>32</v>
      </c>
      <c r="C15" s="107"/>
      <c r="D15" s="107"/>
      <c r="E15" s="108"/>
      <c r="I15" s="38" t="s">
        <v>33</v>
      </c>
      <c r="J15" s="18">
        <f>M14/J14</f>
        <v>1.5</v>
      </c>
      <c r="K15" s="42"/>
      <c r="L15" s="19" t="s">
        <v>34</v>
      </c>
      <c r="M15" s="43">
        <f>IFERROR(NPV(N14,C23,D23,E23)-J13,"N/A")</f>
        <v>-73237064.159432083</v>
      </c>
      <c r="Q15" s="30" t="s">
        <v>63</v>
      </c>
      <c r="R15" s="30">
        <v>3</v>
      </c>
      <c r="S15" s="30"/>
      <c r="T15" s="30"/>
      <c r="U15" s="30"/>
    </row>
    <row r="16" spans="2:21" ht="14.5" customHeight="1">
      <c r="B16" s="44" t="s">
        <v>64</v>
      </c>
      <c r="C16" s="25">
        <v>0</v>
      </c>
      <c r="D16" s="25">
        <v>0</v>
      </c>
      <c r="E16" s="26">
        <v>0</v>
      </c>
      <c r="I16" s="38" t="s">
        <v>35</v>
      </c>
      <c r="J16" s="27">
        <f>(J13/J14)*J15</f>
        <v>0</v>
      </c>
      <c r="K16" s="7"/>
      <c r="L16" s="19" t="s">
        <v>36</v>
      </c>
      <c r="M16" s="45" t="str">
        <f>IFERROR(IRR(M6:M9),"N/A")</f>
        <v>N/A</v>
      </c>
      <c r="Q16" s="102" t="s">
        <v>37</v>
      </c>
      <c r="R16" s="103"/>
      <c r="S16" s="103"/>
      <c r="T16" s="103"/>
      <c r="U16" s="104"/>
    </row>
    <row r="17" spans="2:21" ht="14.5" customHeight="1">
      <c r="B17" s="44" t="s">
        <v>65</v>
      </c>
      <c r="C17" s="25">
        <f>S12*$R$15</f>
        <v>39720000</v>
      </c>
      <c r="D17" s="26">
        <v>0</v>
      </c>
      <c r="E17" s="26">
        <v>0</v>
      </c>
      <c r="I17" s="46" t="s">
        <v>38</v>
      </c>
      <c r="J17" s="47">
        <f>+J16*J14</f>
        <v>0</v>
      </c>
      <c r="K17" s="7"/>
      <c r="L17" s="125"/>
      <c r="M17" s="101"/>
      <c r="N17" s="101"/>
      <c r="O17" s="101"/>
      <c r="P17" s="101"/>
      <c r="Q17" s="10" t="s">
        <v>11</v>
      </c>
      <c r="R17" s="11" t="s">
        <v>12</v>
      </c>
      <c r="S17" s="11" t="s">
        <v>13</v>
      </c>
      <c r="T17" s="12" t="s">
        <v>14</v>
      </c>
      <c r="U17" s="11" t="s">
        <v>15</v>
      </c>
    </row>
    <row r="18" spans="2:21" ht="14.5" customHeight="1">
      <c r="B18" s="44" t="s">
        <v>66</v>
      </c>
      <c r="C18" s="25">
        <f>G33</f>
        <v>25200000</v>
      </c>
      <c r="D18" s="25">
        <f>G40</f>
        <v>25200000</v>
      </c>
      <c r="E18" s="26">
        <f>G40</f>
        <v>25200000</v>
      </c>
      <c r="L18" s="101"/>
      <c r="M18" s="101"/>
      <c r="N18" s="101"/>
      <c r="O18" s="101"/>
      <c r="P18" s="101"/>
      <c r="Q18" s="21" t="s">
        <v>67</v>
      </c>
      <c r="R18" s="21" t="s">
        <v>68</v>
      </c>
      <c r="S18" s="35">
        <v>1158500</v>
      </c>
      <c r="T18" s="23">
        <v>6582</v>
      </c>
      <c r="U18" s="21" t="s">
        <v>15</v>
      </c>
    </row>
    <row r="19" spans="2:21" ht="14.5" customHeight="1">
      <c r="B19" s="44" t="s">
        <v>69</v>
      </c>
      <c r="C19" s="25">
        <v>0</v>
      </c>
      <c r="D19" s="25">
        <v>0</v>
      </c>
      <c r="E19" s="26">
        <v>0</v>
      </c>
      <c r="L19" s="110" t="s">
        <v>40</v>
      </c>
      <c r="M19" s="111"/>
      <c r="Q19" s="30"/>
      <c r="R19" s="30"/>
      <c r="S19" s="30"/>
      <c r="T19" s="30"/>
      <c r="U19" s="30"/>
    </row>
    <row r="20" spans="2:21" ht="14.5" customHeight="1">
      <c r="B20" s="44" t="s">
        <v>70</v>
      </c>
      <c r="C20" s="25">
        <v>0</v>
      </c>
      <c r="D20" s="25">
        <f>S20</f>
        <v>13902000</v>
      </c>
      <c r="E20" s="26">
        <f>S20</f>
        <v>13902000</v>
      </c>
      <c r="G20" s="34" t="s">
        <v>42</v>
      </c>
      <c r="K20" s="7"/>
      <c r="L20" s="48" t="s">
        <v>43</v>
      </c>
      <c r="M20" s="49" t="s">
        <v>44</v>
      </c>
      <c r="Q20" s="30"/>
      <c r="R20" s="21" t="s">
        <v>45</v>
      </c>
      <c r="S20" s="23">
        <f>S18*12</f>
        <v>13902000</v>
      </c>
      <c r="T20" s="30"/>
      <c r="U20" s="30"/>
    </row>
    <row r="21" spans="2:21" ht="43.5" customHeight="1">
      <c r="B21" s="50" t="s">
        <v>46</v>
      </c>
      <c r="C21" s="51">
        <f>SUM(C16:C20)</f>
        <v>64920000</v>
      </c>
      <c r="D21" s="51">
        <f>SUM(D16:D20)</f>
        <v>39102000</v>
      </c>
      <c r="E21" s="52">
        <f>SUM(E16:E20)</f>
        <v>39102000</v>
      </c>
      <c r="G21" s="16">
        <f>SUM(C21:E21)</f>
        <v>143124000</v>
      </c>
      <c r="K21" s="40"/>
      <c r="L21" s="53" t="s">
        <v>47</v>
      </c>
      <c r="M21" s="54">
        <v>0</v>
      </c>
    </row>
    <row r="22" spans="2:21" ht="14.5" customHeight="1">
      <c r="C22" s="7"/>
      <c r="D22" s="7"/>
      <c r="E22" s="7"/>
      <c r="G22" s="34" t="s">
        <v>48</v>
      </c>
      <c r="L22" s="55"/>
      <c r="M22" s="56"/>
    </row>
    <row r="23" spans="2:21" ht="14.5" customHeight="1">
      <c r="B23" s="79" t="s">
        <v>49</v>
      </c>
      <c r="C23" s="80">
        <f>+C13-C21</f>
        <v>-25200000</v>
      </c>
      <c r="D23" s="80">
        <f>+D13-D21</f>
        <v>-39102000</v>
      </c>
      <c r="E23" s="81">
        <f>+E13-E21</f>
        <v>-39102000</v>
      </c>
      <c r="G23" s="16">
        <f>+G13-G21</f>
        <v>-103404000</v>
      </c>
      <c r="L23" s="57"/>
      <c r="M23" s="58"/>
    </row>
    <row r="24" spans="2:21" ht="15.75" customHeight="1">
      <c r="L24" s="59"/>
      <c r="M24" s="59"/>
    </row>
    <row r="25" spans="2:21" ht="15.75" customHeight="1">
      <c r="B25" s="97" t="s">
        <v>41</v>
      </c>
      <c r="C25" s="105" t="s">
        <v>116</v>
      </c>
      <c r="D25" s="103"/>
      <c r="E25" s="103"/>
      <c r="F25" s="104"/>
      <c r="G25" s="60">
        <v>11400000</v>
      </c>
      <c r="I25" t="s">
        <v>39</v>
      </c>
      <c r="L25" s="59"/>
      <c r="M25" s="59"/>
    </row>
    <row r="26" spans="2:21" ht="15.75" customHeight="1">
      <c r="B26" s="98"/>
      <c r="C26" s="105" t="s">
        <v>117</v>
      </c>
      <c r="D26" s="103"/>
      <c r="E26" s="103"/>
      <c r="F26" s="104"/>
      <c r="G26" s="60">
        <v>3360000</v>
      </c>
      <c r="L26" s="59"/>
      <c r="M26" s="59"/>
    </row>
    <row r="27" spans="2:21" ht="15.75" customHeight="1">
      <c r="B27" s="98"/>
      <c r="C27" s="105" t="s">
        <v>118</v>
      </c>
      <c r="D27" s="103"/>
      <c r="E27" s="103"/>
      <c r="F27" s="104"/>
      <c r="G27" s="60">
        <v>1440000</v>
      </c>
      <c r="L27" s="59"/>
      <c r="M27" s="59"/>
    </row>
    <row r="28" spans="2:21" ht="15.75" customHeight="1">
      <c r="B28" s="98"/>
      <c r="C28" s="112" t="s">
        <v>119</v>
      </c>
      <c r="D28" s="103"/>
      <c r="E28" s="103"/>
      <c r="F28" s="104"/>
      <c r="G28" s="60">
        <v>4800000</v>
      </c>
      <c r="L28" s="59"/>
      <c r="M28" s="59"/>
    </row>
    <row r="29" spans="2:21" ht="15.75" customHeight="1">
      <c r="B29" s="98"/>
      <c r="C29" s="112" t="s">
        <v>120</v>
      </c>
      <c r="D29" s="103"/>
      <c r="E29" s="103"/>
      <c r="F29" s="104"/>
      <c r="G29" s="61">
        <v>4200000</v>
      </c>
      <c r="L29" s="59"/>
      <c r="M29" s="59"/>
    </row>
    <row r="30" spans="2:21" ht="15.75" customHeight="1">
      <c r="B30" s="98"/>
      <c r="C30" s="112"/>
      <c r="D30" s="103"/>
      <c r="E30" s="103"/>
      <c r="F30" s="104"/>
      <c r="G30" s="62"/>
      <c r="L30" s="59"/>
      <c r="M30" s="59"/>
    </row>
    <row r="31" spans="2:21" ht="15.75" customHeight="1">
      <c r="B31" s="98"/>
      <c r="C31" s="112"/>
      <c r="D31" s="103"/>
      <c r="E31" s="103"/>
      <c r="F31" s="104"/>
      <c r="G31" s="61"/>
      <c r="L31" s="59"/>
      <c r="M31" s="59"/>
    </row>
    <row r="32" spans="2:21" ht="15.75" customHeight="1">
      <c r="B32" s="98"/>
      <c r="C32" s="112"/>
      <c r="D32" s="103"/>
      <c r="E32" s="103"/>
      <c r="F32" s="104"/>
      <c r="G32" s="62"/>
      <c r="L32" s="59"/>
      <c r="M32" s="59"/>
    </row>
    <row r="33" spans="2:13" ht="15.75" customHeight="1">
      <c r="B33" s="98"/>
      <c r="C33" s="112" t="s">
        <v>50</v>
      </c>
      <c r="D33" s="103"/>
      <c r="E33" s="103"/>
      <c r="F33" s="104"/>
      <c r="G33" s="62">
        <f>SUM(G25:G29)</f>
        <v>25200000</v>
      </c>
      <c r="L33" s="59"/>
      <c r="M33" s="59"/>
    </row>
    <row r="34" spans="2:13" ht="15.75" customHeight="1">
      <c r="B34" s="99"/>
      <c r="C34" s="113" t="s">
        <v>76</v>
      </c>
      <c r="D34" s="103"/>
      <c r="E34" s="103"/>
      <c r="F34" s="104"/>
      <c r="G34" s="62">
        <v>0</v>
      </c>
      <c r="L34" s="59"/>
      <c r="M34" s="59"/>
    </row>
    <row r="35" spans="2:13" ht="15.75" customHeight="1">
      <c r="C35" s="116" t="s">
        <v>50</v>
      </c>
      <c r="D35" s="117"/>
      <c r="E35" s="117"/>
      <c r="F35" s="118"/>
      <c r="G35" s="82">
        <f>SUM(G25:G34)</f>
        <v>50400000</v>
      </c>
      <c r="L35" s="59"/>
      <c r="M35" s="59"/>
    </row>
    <row r="36" spans="2:13" ht="15.75" customHeight="1">
      <c r="C36" s="63"/>
      <c r="D36" s="63"/>
      <c r="E36" s="63"/>
      <c r="F36" s="63"/>
      <c r="G36" s="64"/>
      <c r="L36" s="59"/>
      <c r="M36" s="59"/>
    </row>
    <row r="37" spans="2:13" ht="15.75" customHeight="1">
      <c r="C37" s="63"/>
      <c r="D37" s="63"/>
      <c r="E37" s="63"/>
      <c r="F37" s="63"/>
      <c r="G37" s="64"/>
      <c r="L37" s="59"/>
      <c r="M37" s="59"/>
    </row>
    <row r="38" spans="2:13" ht="15.75" customHeight="1">
      <c r="C38" s="63"/>
      <c r="D38" s="63"/>
      <c r="E38" s="63"/>
      <c r="F38" s="63"/>
      <c r="G38" s="64"/>
      <c r="L38" s="59"/>
      <c r="M38" s="59"/>
    </row>
    <row r="39" spans="2:13" ht="15.75" customHeight="1">
      <c r="B39" s="97" t="s">
        <v>51</v>
      </c>
      <c r="C39" s="105" t="s">
        <v>77</v>
      </c>
      <c r="D39" s="103"/>
      <c r="E39" s="103"/>
      <c r="F39" s="104"/>
      <c r="G39" s="65">
        <v>13902000</v>
      </c>
      <c r="L39" s="59"/>
      <c r="M39" s="59"/>
    </row>
    <row r="40" spans="2:13" ht="15.75" customHeight="1">
      <c r="B40" s="98"/>
      <c r="C40" s="112" t="s">
        <v>78</v>
      </c>
      <c r="D40" s="103"/>
      <c r="E40" s="103"/>
      <c r="F40" s="104"/>
      <c r="G40" s="65">
        <v>25200000</v>
      </c>
      <c r="L40" s="59"/>
      <c r="M40" s="59"/>
    </row>
    <row r="41" spans="2:13" ht="15.75" customHeight="1">
      <c r="B41" s="98"/>
      <c r="C41" s="112"/>
      <c r="D41" s="103"/>
      <c r="E41" s="103"/>
      <c r="F41" s="104"/>
      <c r="G41" s="66"/>
    </row>
    <row r="42" spans="2:13" ht="15.75" customHeight="1">
      <c r="B42" s="98"/>
      <c r="C42" s="112"/>
      <c r="D42" s="103"/>
      <c r="E42" s="103"/>
      <c r="F42" s="104"/>
      <c r="G42" s="67"/>
    </row>
    <row r="43" spans="2:13" ht="15.75" customHeight="1">
      <c r="B43" s="98"/>
      <c r="C43" s="112"/>
      <c r="D43" s="103"/>
      <c r="E43" s="103"/>
      <c r="F43" s="104"/>
      <c r="G43" s="66"/>
    </row>
    <row r="44" spans="2:13" ht="15.75" customHeight="1">
      <c r="B44" s="98"/>
      <c r="C44" s="112"/>
      <c r="D44" s="103"/>
      <c r="E44" s="103"/>
      <c r="F44" s="104"/>
      <c r="G44" s="67"/>
    </row>
    <row r="45" spans="2:13" ht="15.75" customHeight="1">
      <c r="B45" s="99"/>
      <c r="C45" s="112" t="s">
        <v>50</v>
      </c>
      <c r="D45" s="103"/>
      <c r="E45" s="103"/>
      <c r="F45" s="104"/>
      <c r="G45" s="67">
        <v>0</v>
      </c>
    </row>
    <row r="46" spans="2:13" ht="15.75" customHeight="1">
      <c r="C46" s="123" t="s">
        <v>50</v>
      </c>
      <c r="D46" s="103"/>
      <c r="E46" s="103"/>
      <c r="F46" s="104"/>
      <c r="G46" s="83">
        <f>SUM(G39:G45)</f>
        <v>39102000</v>
      </c>
    </row>
    <row r="47" spans="2:13" ht="15.75" customHeight="1"/>
    <row r="48" spans="2:13" ht="15.75" customHeight="1">
      <c r="B48" s="68" t="s">
        <v>52</v>
      </c>
      <c r="C48" s="100" t="s">
        <v>53</v>
      </c>
      <c r="D48" s="101"/>
      <c r="E48" s="101"/>
      <c r="F48" s="101"/>
    </row>
    <row r="49" spans="2:10" ht="15.75" customHeight="1">
      <c r="B49" s="68" t="s">
        <v>54</v>
      </c>
      <c r="C49" s="100" t="s">
        <v>55</v>
      </c>
      <c r="D49" s="101"/>
      <c r="E49" s="101"/>
      <c r="F49" s="101"/>
    </row>
    <row r="50" spans="2:10" ht="15.75" customHeight="1">
      <c r="C50" s="69"/>
    </row>
    <row r="51" spans="2:10" ht="15.75" customHeight="1"/>
    <row r="52" spans="2:10" ht="15.75" customHeight="1">
      <c r="B52" s="127" t="s">
        <v>79</v>
      </c>
      <c r="C52" s="101"/>
      <c r="D52" s="101"/>
      <c r="E52" s="101"/>
      <c r="F52" s="101"/>
      <c r="G52" s="101"/>
      <c r="H52" s="101"/>
      <c r="I52" s="101"/>
      <c r="J52" s="101"/>
    </row>
    <row r="53" spans="2:10" ht="15.75" customHeight="1">
      <c r="B53" s="124"/>
      <c r="C53" s="101"/>
      <c r="D53" s="101"/>
      <c r="E53" s="101"/>
      <c r="F53" s="101"/>
      <c r="G53" s="101"/>
      <c r="H53" s="101"/>
      <c r="I53" s="101"/>
      <c r="J53" s="101"/>
    </row>
    <row r="54" spans="2:10" ht="15.75" customHeight="1"/>
    <row r="55" spans="2:10" ht="15.75" customHeight="1">
      <c r="B55" t="s">
        <v>80</v>
      </c>
      <c r="C55" s="84">
        <v>360</v>
      </c>
    </row>
    <row r="56" spans="2:10" ht="15.75" customHeight="1">
      <c r="B56" t="s">
        <v>81</v>
      </c>
      <c r="C56" s="85">
        <v>0.15</v>
      </c>
    </row>
    <row r="57" spans="2:10" ht="15.75" customHeight="1">
      <c r="B57" t="s">
        <v>82</v>
      </c>
      <c r="C57" s="86">
        <f>C55*C56</f>
        <v>54</v>
      </c>
    </row>
    <row r="58" spans="2:10" ht="15.75" customHeight="1">
      <c r="B58" t="s">
        <v>83</v>
      </c>
      <c r="C58" s="85">
        <v>0.8</v>
      </c>
    </row>
    <row r="59" spans="2:10" ht="15.75" customHeight="1">
      <c r="B59" t="s">
        <v>84</v>
      </c>
      <c r="C59" s="86">
        <f>C57*C58</f>
        <v>43.2</v>
      </c>
    </row>
    <row r="60" spans="2:10" ht="15.75" customHeight="1">
      <c r="B60" t="s">
        <v>85</v>
      </c>
      <c r="C60" s="87">
        <v>3</v>
      </c>
    </row>
    <row r="61" spans="2:10" ht="15.75" customHeight="1">
      <c r="B61" t="s">
        <v>86</v>
      </c>
      <c r="C61" s="85">
        <v>0.5</v>
      </c>
    </row>
    <row r="62" spans="2:10" ht="15.75" customHeight="1">
      <c r="B62" t="s">
        <v>87</v>
      </c>
      <c r="C62" s="88">
        <f>C60*C61</f>
        <v>1.5</v>
      </c>
    </row>
    <row r="63" spans="2:10" ht="15.75" customHeight="1">
      <c r="B63" t="s">
        <v>88</v>
      </c>
      <c r="C63" s="89">
        <v>5000000</v>
      </c>
    </row>
    <row r="64" spans="2:10" ht="15.75" customHeight="1">
      <c r="B64" t="s">
        <v>89</v>
      </c>
      <c r="C64" s="89">
        <v>10000000</v>
      </c>
    </row>
    <row r="65" spans="2:10" ht="15.75" customHeight="1"/>
    <row r="66" spans="2:10" ht="15.75" customHeight="1">
      <c r="B66" s="90" t="s">
        <v>90</v>
      </c>
      <c r="C66" s="91">
        <f>C59*C63*C62</f>
        <v>324000000</v>
      </c>
    </row>
    <row r="67" spans="2:10" ht="15.75" customHeight="1">
      <c r="B67" s="90" t="s">
        <v>91</v>
      </c>
      <c r="C67" s="91">
        <f>C59*C64*C62</f>
        <v>648000000</v>
      </c>
    </row>
    <row r="68" spans="2:10" ht="15.75" customHeight="1"/>
    <row r="69" spans="2:10" ht="15.75" customHeight="1">
      <c r="B69" s="126"/>
      <c r="C69" s="101"/>
      <c r="D69" s="101"/>
      <c r="E69" s="101"/>
      <c r="F69" s="101"/>
      <c r="G69" s="101"/>
      <c r="H69" s="101"/>
      <c r="I69" s="101"/>
      <c r="J69" s="101"/>
    </row>
    <row r="70" spans="2:10" ht="15.75" customHeight="1">
      <c r="B70" s="101"/>
      <c r="C70" s="101"/>
      <c r="D70" s="101"/>
      <c r="E70" s="101"/>
      <c r="F70" s="101"/>
      <c r="G70" s="101"/>
      <c r="H70" s="101"/>
      <c r="I70" s="101"/>
      <c r="J70" s="101"/>
    </row>
    <row r="71" spans="2:10" ht="15.75" customHeight="1"/>
    <row r="72" spans="2:10" ht="15.75" customHeight="1">
      <c r="B72" t="s">
        <v>92</v>
      </c>
      <c r="C72" s="92">
        <f>G21/3</f>
        <v>47708000</v>
      </c>
    </row>
    <row r="73" spans="2:10" ht="15.75" customHeight="1">
      <c r="B73" t="s">
        <v>93</v>
      </c>
      <c r="C73" s="93">
        <f>IFERROR(C66/C72,"N/A")</f>
        <v>6.7913138257734555</v>
      </c>
    </row>
    <row r="74" spans="2:10" ht="15.75" customHeight="1">
      <c r="B74" t="s">
        <v>94</v>
      </c>
      <c r="C74" s="93">
        <f>IFERROR(C67/C72,"N/A")</f>
        <v>13.582627651546911</v>
      </c>
    </row>
    <row r="75" spans="2:10" ht="15.75" customHeight="1"/>
    <row r="76" spans="2:10" ht="15.75" customHeight="1"/>
    <row r="77" spans="2:10" ht="15.75" customHeight="1"/>
    <row r="78" spans="2:10" ht="15.75" customHeight="1"/>
    <row r="79" spans="2:10" ht="15.75" customHeight="1"/>
    <row r="80" spans="2:1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37">
    <mergeCell ref="B69:J70"/>
    <mergeCell ref="C44:F44"/>
    <mergeCell ref="C40:F40"/>
    <mergeCell ref="C31:F31"/>
    <mergeCell ref="C5:E5"/>
    <mergeCell ref="C43:F43"/>
    <mergeCell ref="C46:F46"/>
    <mergeCell ref="C27:F27"/>
    <mergeCell ref="B52:J52"/>
    <mergeCell ref="Q5:U5"/>
    <mergeCell ref="C30:F30"/>
    <mergeCell ref="L5:M5"/>
    <mergeCell ref="C33:F33"/>
    <mergeCell ref="C42:F42"/>
    <mergeCell ref="L17:P18"/>
    <mergeCell ref="C35:F35"/>
    <mergeCell ref="C26:F26"/>
    <mergeCell ref="C29:F29"/>
    <mergeCell ref="I5:J5"/>
    <mergeCell ref="C25:F25"/>
    <mergeCell ref="C41:F41"/>
    <mergeCell ref="B1:J1"/>
    <mergeCell ref="L19:M19"/>
    <mergeCell ref="B53:J53"/>
    <mergeCell ref="C32:F32"/>
    <mergeCell ref="C28:F28"/>
    <mergeCell ref="C49:F49"/>
    <mergeCell ref="B25:B34"/>
    <mergeCell ref="C34:F34"/>
    <mergeCell ref="C45:F45"/>
    <mergeCell ref="B4:G4"/>
    <mergeCell ref="B2:J2"/>
    <mergeCell ref="B39:B45"/>
    <mergeCell ref="C48:F48"/>
    <mergeCell ref="Q16:U16"/>
    <mergeCell ref="C39:F39"/>
    <mergeCell ref="B15:E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Flujo - Economica</vt:lpstr>
      <vt:lpstr>Flujo - Estandar</vt:lpstr>
      <vt:lpstr>Flujo - Empresarial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CETECOM</dc:creator>
  <cp:lastModifiedBy>ANTONELLA MARIA VALENTINA ORELLANA SERRANO</cp:lastModifiedBy>
  <dcterms:created xsi:type="dcterms:W3CDTF">2022-10-18T13:55:40Z</dcterms:created>
  <dcterms:modified xsi:type="dcterms:W3CDTF">2026-10-04T23:22:36Z</dcterms:modified>
</cp:coreProperties>
</file>